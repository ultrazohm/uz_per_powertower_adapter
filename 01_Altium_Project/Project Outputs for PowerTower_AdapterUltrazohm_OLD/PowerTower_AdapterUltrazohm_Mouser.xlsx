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Project Outputs for PowerTower_AdapterUltrazohm\"/>
    </mc:Choice>
  </mc:AlternateContent>
  <xr:revisionPtr revIDLastSave="0" documentId="13_ncr:1_{22120366-79EA-46CB-8A89-AB5A0CA5AC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 l="1"/>
  <c r="G8" i="3"/>
  <c r="H8" i="3"/>
</calcChain>
</file>

<file path=xl/sharedStrings.xml><?xml version="1.0" encoding="utf-8"?>
<sst xmlns="http://schemas.openxmlformats.org/spreadsheetml/2006/main" count="188" uniqueCount="148">
  <si>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</si>
  <si>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</si>
  <si>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</si>
  <si>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</si>
  <si>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</si>
  <si>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</si>
  <si>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</si>
  <si>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</si>
  <si>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</si>
  <si>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</si>
  <si>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</si>
  <si>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</si>
  <si>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</si>
  <si>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</si>
  <si>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</si>
  <si>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</si>
  <si>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</si>
  <si>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</si>
  <si>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</si>
  <si>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</si>
  <si>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</si>
  <si>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</si>
  <si>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</si>
  <si>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</si>
  <si>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</si>
  <si>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</si>
  <si>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</si>
  <si>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</si>
  <si>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</si>
  <si>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</si>
  <si>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</si>
  <si>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</si>
  <si>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</si>
  <si>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</si>
  <si>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C1</t>
  </si>
  <si>
    <t>C3</t>
  </si>
  <si>
    <t>C8, C9</t>
  </si>
  <si>
    <t>C14</t>
  </si>
  <si>
    <t>D2, D3</t>
  </si>
  <si>
    <t>F1, F2</t>
  </si>
  <si>
    <t>IC3</t>
  </si>
  <si>
    <t>J1</t>
  </si>
  <si>
    <t>P8, X4, X5, X6</t>
  </si>
  <si>
    <t>U1</t>
  </si>
  <si>
    <t>X1, X2, X3</t>
  </si>
  <si>
    <t>X7</t>
  </si>
  <si>
    <t>X8</t>
  </si>
  <si>
    <t>X9, X10</t>
  </si>
  <si>
    <t>Manufacturer</t>
  </si>
  <si>
    <t>KEMET</t>
  </si>
  <si>
    <t>Wuerth Elektronik</t>
  </si>
  <si>
    <t>Panasonic</t>
  </si>
  <si>
    <t>Taiyo Yuden</t>
  </si>
  <si>
    <t>Littelfuse</t>
  </si>
  <si>
    <t>Analog Devices</t>
  </si>
  <si>
    <t>Amphenol</t>
  </si>
  <si>
    <t>Wurth</t>
  </si>
  <si>
    <t>Texas Instruments</t>
  </si>
  <si>
    <t>SAMTEC</t>
  </si>
  <si>
    <t>WURTH</t>
  </si>
  <si>
    <t>Manufacturer Part Number</t>
  </si>
  <si>
    <t>C0805C104J5RECTU</t>
  </si>
  <si>
    <t>150060GS84000, 150060RS86000</t>
  </si>
  <si>
    <t>0154001.DR</t>
  </si>
  <si>
    <t>AD8554ARZ</t>
  </si>
  <si>
    <t>RJHSE538002</t>
  </si>
  <si>
    <t>691382000003</t>
  </si>
  <si>
    <t>173010578</t>
  </si>
  <si>
    <t>61201421621</t>
  </si>
  <si>
    <t>61200621621</t>
  </si>
  <si>
    <t>IPL1-115-01-L-D-RA-K</t>
  </si>
  <si>
    <t>61300911121</t>
  </si>
  <si>
    <t>Value</t>
  </si>
  <si>
    <t>10 µF</t>
  </si>
  <si>
    <t>0.1 µF</t>
  </si>
  <si>
    <t>100 µF</t>
  </si>
  <si>
    <t>1 A</t>
  </si>
  <si>
    <t>Rail-to-Rail</t>
  </si>
  <si>
    <t>5 W</t>
  </si>
  <si>
    <t>Description</t>
  </si>
  <si>
    <t>Capacitor 0805, 25 VDC, 10 µF, X5R</t>
  </si>
  <si>
    <t>Capacitor WCAP, 6.3 VDC, 100 µF</t>
  </si>
  <si>
    <t>Capacitor EEE, 50 VDC, 100 µF</t>
  </si>
  <si>
    <t>Capacitor 0805, 50 VDC, 0.1 µF, X7R</t>
  </si>
  <si>
    <t>WL-SMCW SMD Mono-color Chip LED Waterclear Green, WL-SMCW SMD Mono-color Chip LED Waterclear Red</t>
  </si>
  <si>
    <t>Duse OMNI BLOK 154</t>
  </si>
  <si>
    <t>Differential Amplifier, 3V 1.5MHz, 145dB</t>
  </si>
  <si>
    <t>CAT5, RJ45 Connector, 1x2</t>
  </si>
  <si>
    <t>2.5mm Single Row 3-pol Vertical PCB Header</t>
  </si>
  <si>
    <t>Not isolated DCDC Converter 5 V Output, 1 A, 8 - 28 V Input</t>
  </si>
  <si>
    <t>2.54mm Double Row 14-pol Vertical Male Pin Box Header</t>
  </si>
  <si>
    <t>2.54mm Double Row 6-pol Vertical Male Pin Box Header</t>
  </si>
  <si>
    <t>Terminal Assembly, Double Row, Right Angle, Thru-Hole, 2.54 mm x 2.54 mm Pitch, 30 Pins</t>
  </si>
  <si>
    <t>Pin Header, 2.54mm, 9 Pins, Single Row</t>
  </si>
  <si>
    <t>Device Package</t>
  </si>
  <si>
    <t>0805</t>
  </si>
  <si>
    <t>0603</t>
  </si>
  <si>
    <t>WCAP</t>
  </si>
  <si>
    <t>EEE</t>
  </si>
  <si>
    <t>OMNI-BLOK</t>
  </si>
  <si>
    <t>SOIC-14</t>
  </si>
  <si>
    <t>RJ45</t>
  </si>
  <si>
    <t>Connector</t>
  </si>
  <si>
    <t>FDSM</t>
  </si>
  <si>
    <t>SOIC</t>
  </si>
  <si>
    <t>THT</t>
  </si>
  <si>
    <t>Supplier 1</t>
  </si>
  <si>
    <t>Mouser</t>
  </si>
  <si>
    <t>RS</t>
  </si>
  <si>
    <t>Farnell</t>
  </si>
  <si>
    <t>Digi-Key, Mouser</t>
  </si>
  <si>
    <t>Wurth Electronik</t>
  </si>
  <si>
    <t>Supplier Part Number 1</t>
  </si>
  <si>
    <t>80-C0805C104J5RECTU</t>
  </si>
  <si>
    <t>710-150060GS84000, 710-150060RS86000</t>
  </si>
  <si>
    <t>576-0154001.DR</t>
  </si>
  <si>
    <t>412-995</t>
  </si>
  <si>
    <t>1860605</t>
  </si>
  <si>
    <t>710-173010578</t>
  </si>
  <si>
    <t>Supplier 2</t>
  </si>
  <si>
    <t>Supplier Part Number 2</t>
  </si>
  <si>
    <t>3408612, 3408608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</si>
  <si>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</si>
  <si>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</si>
  <si>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</si>
  <si>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</si>
  <si>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</si>
  <si>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</si>
  <si>
    <t>U2, U3</t>
  </si>
  <si>
    <t>DS26C31TMX/NOPB</t>
  </si>
  <si>
    <t>2</t>
  </si>
  <si>
    <t>CMOS Quad Tri-State Differential Line Drivers, 16-pin Narrow SOIC, Pb-Free, 3V</t>
  </si>
  <si>
    <t>DS26C31TMX/NOPBCT-ND</t>
  </si>
  <si>
    <t xml:space="preserve">TMK212BBJ106KG-T </t>
  </si>
  <si>
    <t xml:space="preserve">963-TMK212BBJ106KG-T </t>
  </si>
  <si>
    <t>EEE-FK0J101V</t>
  </si>
  <si>
    <t xml:space="preserve">667-EEE-FK0J101V </t>
  </si>
  <si>
    <t>Vishay</t>
  </si>
  <si>
    <t xml:space="preserve">MAL216099101E3 </t>
  </si>
  <si>
    <t xml:space="preserve">594-MAL216099101E3 </t>
  </si>
  <si>
    <t xml:space="preserve">584-AD8554ARZ </t>
  </si>
  <si>
    <t xml:space="preserve">523-RJHSE-5380-02 </t>
  </si>
  <si>
    <t xml:space="preserve">710-691382000003 </t>
  </si>
  <si>
    <t>710-61201421621</t>
  </si>
  <si>
    <t>710-61200621621</t>
  </si>
  <si>
    <t xml:space="preserve">200-IPL111501LDRAK </t>
  </si>
  <si>
    <t>710-61300911121</t>
  </si>
  <si>
    <t xml:space="preserve">926-DS26C31TMX/NOPB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</si>
</sst>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0" fontId="3" fillId="5" borderId="7" xfId="0" applyFont="1" applyFill="1" applyBorder="1" applyAlignment="1"/>
    <xf numFmtId="0" fontId="16" fillId="7" borderId="22" xfId="0" applyFont="1" applyFill="1" applyBorder="1" applyAlignment="1">
      <alignment vertical="top" wrapText="1"/>
    </xf>
    <xf numFmtId="49" fontId="16" fillId="7" borderId="31" xfId="0" applyNumberFormat="1" applyFont="1" applyFill="1" applyBorder="1" applyAlignment="1">
      <alignment vertical="top" wrapText="1"/>
    </xf>
    <xf numFmtId="49" fontId="16" fillId="7" borderId="28" xfId="0" applyNumberFormat="1" applyFont="1" applyFill="1" applyBorder="1" applyAlignment="1">
      <alignment vertical="top" wrapText="1"/>
    </xf>
    <xf numFmtId="49" fontId="16" fillId="7" borderId="29" xfId="0" applyNumberFormat="1" applyFont="1" applyFill="1" applyBorder="1" applyAlignment="1">
      <alignment vertical="top" wrapText="1"/>
    </xf>
    <xf numFmtId="49" fontId="7" fillId="8" borderId="26" xfId="0" applyNumberFormat="1" applyFont="1" applyFill="1" applyBorder="1" applyAlignment="1">
      <alignment vertical="top" wrapText="1"/>
    </xf>
    <xf numFmtId="49" fontId="7" fillId="8" borderId="29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left" vertical="top" wrapText="1"/>
    </xf>
    <xf numFmtId="49" fontId="7" fillId="7" borderId="30" xfId="0" applyNumberFormat="1" applyFont="1" applyFill="1" applyBorder="1" applyAlignment="1">
      <alignment horizontal="left" vertical="top" wrapText="1"/>
    </xf>
    <xf numFmtId="49" fontId="16" fillId="7" borderId="30" xfId="0" applyNumberFormat="1" applyFont="1" applyFill="1" applyBorder="1" applyAlignment="1">
      <alignment horizontal="left" vertical="top" wrapText="1"/>
    </xf>
    <xf numFmtId="49" fontId="16" fillId="8" borderId="29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10</xdr:col>
      <xdr:colOff>783821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3"/>
  <sheetViews>
    <sheetView showGridLines="0" tabSelected="1" zoomScale="110" zoomScaleNormal="110" workbookViewId="0">
      <selection activeCell="H26" sqref="H26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23.5703125" style="1" customWidth="1"/>
    <col min="9" max="9" width="12.42578125" style="1" customWidth="1"/>
    <col min="10" max="10" width="13.140625" style="1" customWidth="1"/>
    <col min="11" max="11" width="43.85546875" style="1" customWidth="1"/>
    <col min="12" max="12" width="13.140625" style="1" customWidth="1"/>
    <col min="13" max="13" width="33.8554687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63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64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5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6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7" t="s">
        <v>29</v>
      </c>
      <c r="H7" s="67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44344</v>
      </c>
      <c r="H8" s="47">
        <f ca="1">NOW()</f>
        <v>44344.659554745369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1" t="s">
        <v>32</v>
      </c>
      <c r="D9" s="45" t="s">
        <v>33</v>
      </c>
      <c r="E9" s="45" t="s">
        <v>48</v>
      </c>
      <c r="F9" s="45" t="s">
        <v>60</v>
      </c>
      <c r="G9" s="45" t="s">
        <v>72</v>
      </c>
      <c r="H9" s="45" t="s">
        <v>79</v>
      </c>
      <c r="I9" s="45" t="s">
        <v>94</v>
      </c>
      <c r="J9" s="45" t="s">
        <v>106</v>
      </c>
      <c r="K9" s="45" t="s">
        <v>112</v>
      </c>
      <c r="L9" s="45" t="s">
        <v>119</v>
      </c>
      <c r="M9" s="45" t="s">
        <v>120</v>
      </c>
      <c r="N9" s="46" t="s">
        <v>24</v>
      </c>
    </row>
    <row r="10" spans="1:15" s="3" customFormat="1" ht="13.5" customHeight="1" x14ac:dyDescent="0.2">
      <c r="A10" s="38"/>
      <c r="B10" s="49">
        <f t="shared" ref="B10:B24" si="0">ROW(B10) - ROW($B$9)</f>
        <v>1</v>
      </c>
      <c r="C10" s="61">
        <v>1</v>
      </c>
      <c r="D10" s="56" t="s">
        <v>34</v>
      </c>
      <c r="E10" s="56" t="s">
        <v>52</v>
      </c>
      <c r="F10" s="56" t="s">
        <v>133</v>
      </c>
      <c r="G10" s="57" t="s">
        <v>73</v>
      </c>
      <c r="H10" s="57" t="s">
        <v>80</v>
      </c>
      <c r="I10" s="57" t="s">
        <v>95</v>
      </c>
      <c r="J10" s="77" t="s">
        <v>107</v>
      </c>
      <c r="K10" s="77" t="s">
        <v>134</v>
      </c>
      <c r="L10" s="58"/>
      <c r="M10" s="58"/>
      <c r="N10" s="79"/>
    </row>
    <row r="11" spans="1:15" s="3" customFormat="1" ht="13.5" customHeight="1" x14ac:dyDescent="0.2">
      <c r="A11" s="38"/>
      <c r="B11" s="49">
        <f t="shared" si="0"/>
        <v>2</v>
      </c>
      <c r="C11" s="61">
        <v>1</v>
      </c>
      <c r="D11" s="56" t="s">
        <v>35</v>
      </c>
      <c r="E11" s="56" t="s">
        <v>51</v>
      </c>
      <c r="F11" s="56" t="s">
        <v>135</v>
      </c>
      <c r="G11" s="57" t="s">
        <v>75</v>
      </c>
      <c r="H11" s="57" t="s">
        <v>81</v>
      </c>
      <c r="I11" s="57" t="s">
        <v>97</v>
      </c>
      <c r="J11" s="77" t="s">
        <v>107</v>
      </c>
      <c r="K11" s="77" t="s">
        <v>136</v>
      </c>
      <c r="L11" s="58"/>
      <c r="M11" s="58"/>
      <c r="N11" s="79"/>
    </row>
    <row r="12" spans="1:15" s="3" customFormat="1" ht="13.5" customHeight="1" x14ac:dyDescent="0.2">
      <c r="A12" s="38"/>
      <c r="B12" s="50">
        <f t="shared" si="0"/>
        <v>3</v>
      </c>
      <c r="C12" s="62">
        <v>2</v>
      </c>
      <c r="D12" s="59" t="s">
        <v>36</v>
      </c>
      <c r="E12" s="59" t="s">
        <v>137</v>
      </c>
      <c r="F12" s="59" t="s">
        <v>138</v>
      </c>
      <c r="G12" s="59" t="s">
        <v>75</v>
      </c>
      <c r="H12" s="59" t="s">
        <v>82</v>
      </c>
      <c r="I12" s="59" t="s">
        <v>98</v>
      </c>
      <c r="J12" s="78" t="s">
        <v>107</v>
      </c>
      <c r="K12" s="78" t="s">
        <v>139</v>
      </c>
      <c r="L12" s="60"/>
      <c r="M12" s="60"/>
      <c r="N12" s="80"/>
    </row>
    <row r="13" spans="1:15" s="3" customFormat="1" ht="13.5" customHeight="1" x14ac:dyDescent="0.2">
      <c r="A13" s="72"/>
      <c r="B13" s="73">
        <f t="shared" si="0"/>
        <v>4</v>
      </c>
      <c r="C13" s="74">
        <v>1</v>
      </c>
      <c r="D13" s="75" t="s">
        <v>37</v>
      </c>
      <c r="E13" s="75" t="s">
        <v>49</v>
      </c>
      <c r="F13" s="75" t="s">
        <v>61</v>
      </c>
      <c r="G13" s="75" t="s">
        <v>74</v>
      </c>
      <c r="H13" s="75" t="s">
        <v>83</v>
      </c>
      <c r="I13" s="75" t="s">
        <v>95</v>
      </c>
      <c r="J13" s="82" t="s">
        <v>107</v>
      </c>
      <c r="K13" s="82" t="s">
        <v>113</v>
      </c>
      <c r="L13" s="76"/>
      <c r="M13" s="76"/>
      <c r="N13" s="81"/>
    </row>
    <row r="14" spans="1:15" s="3" customFormat="1" ht="13.5" customHeight="1" x14ac:dyDescent="0.2">
      <c r="A14" s="38"/>
      <c r="B14" s="49">
        <f t="shared" si="0"/>
        <v>5</v>
      </c>
      <c r="C14" s="61">
        <v>2</v>
      </c>
      <c r="D14" s="56" t="s">
        <v>38</v>
      </c>
      <c r="E14" s="56" t="s">
        <v>50</v>
      </c>
      <c r="F14" s="56" t="s">
        <v>62</v>
      </c>
      <c r="G14" s="57"/>
      <c r="H14" s="57" t="s">
        <v>84</v>
      </c>
      <c r="I14" s="57" t="s">
        <v>96</v>
      </c>
      <c r="J14" s="77" t="s">
        <v>107</v>
      </c>
      <c r="K14" s="77" t="s">
        <v>114</v>
      </c>
      <c r="L14" s="58" t="s">
        <v>109</v>
      </c>
      <c r="M14" s="58" t="s">
        <v>121</v>
      </c>
      <c r="N14" s="79"/>
    </row>
    <row r="15" spans="1:15" s="3" customFormat="1" ht="13.5" customHeight="1" x14ac:dyDescent="0.2">
      <c r="A15" s="38"/>
      <c r="B15" s="50">
        <f t="shared" si="0"/>
        <v>6</v>
      </c>
      <c r="C15" s="62">
        <v>2</v>
      </c>
      <c r="D15" s="59" t="s">
        <v>39</v>
      </c>
      <c r="E15" s="59" t="s">
        <v>53</v>
      </c>
      <c r="F15" s="59" t="s">
        <v>63</v>
      </c>
      <c r="G15" s="59" t="s">
        <v>76</v>
      </c>
      <c r="H15" s="59" t="s">
        <v>85</v>
      </c>
      <c r="I15" s="59" t="s">
        <v>99</v>
      </c>
      <c r="J15" s="78" t="s">
        <v>107</v>
      </c>
      <c r="K15" s="78" t="s">
        <v>115</v>
      </c>
      <c r="L15" s="60"/>
      <c r="M15" s="60"/>
      <c r="N15" s="80"/>
    </row>
    <row r="16" spans="1:15" s="3" customFormat="1" ht="13.5" customHeight="1" x14ac:dyDescent="0.2">
      <c r="A16" s="38"/>
      <c r="B16" s="49">
        <f t="shared" si="0"/>
        <v>7</v>
      </c>
      <c r="C16" s="61">
        <v>1</v>
      </c>
      <c r="D16" s="56" t="s">
        <v>40</v>
      </c>
      <c r="E16" s="56" t="s">
        <v>54</v>
      </c>
      <c r="F16" s="56" t="s">
        <v>64</v>
      </c>
      <c r="G16" s="57" t="s">
        <v>77</v>
      </c>
      <c r="H16" s="57" t="s">
        <v>86</v>
      </c>
      <c r="I16" s="57" t="s">
        <v>100</v>
      </c>
      <c r="J16" s="58" t="s">
        <v>108</v>
      </c>
      <c r="K16" s="58" t="s">
        <v>116</v>
      </c>
      <c r="L16" s="77" t="s">
        <v>107</v>
      </c>
      <c r="M16" s="77" t="s">
        <v>140</v>
      </c>
      <c r="N16" s="79"/>
    </row>
    <row r="17" spans="1:14" s="3" customFormat="1" ht="13.5" customHeight="1" x14ac:dyDescent="0.2">
      <c r="A17" s="38"/>
      <c r="B17" s="50">
        <f t="shared" si="0"/>
        <v>8</v>
      </c>
      <c r="C17" s="62">
        <v>1</v>
      </c>
      <c r="D17" s="59" t="s">
        <v>41</v>
      </c>
      <c r="E17" s="59" t="s">
        <v>55</v>
      </c>
      <c r="F17" s="59" t="s">
        <v>65</v>
      </c>
      <c r="G17" s="59"/>
      <c r="H17" s="59" t="s">
        <v>87</v>
      </c>
      <c r="I17" s="59" t="s">
        <v>101</v>
      </c>
      <c r="J17" s="60" t="s">
        <v>109</v>
      </c>
      <c r="K17" s="60" t="s">
        <v>117</v>
      </c>
      <c r="L17" s="78" t="s">
        <v>107</v>
      </c>
      <c r="M17" s="78" t="s">
        <v>141</v>
      </c>
      <c r="N17" s="80"/>
    </row>
    <row r="18" spans="1:14" s="3" customFormat="1" ht="13.5" customHeight="1" x14ac:dyDescent="0.2">
      <c r="A18" s="38"/>
      <c r="B18" s="49">
        <f t="shared" si="0"/>
        <v>9</v>
      </c>
      <c r="C18" s="61">
        <v>4</v>
      </c>
      <c r="D18" s="56" t="s">
        <v>42</v>
      </c>
      <c r="E18" s="56" t="s">
        <v>56</v>
      </c>
      <c r="F18" s="56" t="s">
        <v>66</v>
      </c>
      <c r="G18" s="57"/>
      <c r="H18" s="57" t="s">
        <v>88</v>
      </c>
      <c r="I18" s="57" t="s">
        <v>102</v>
      </c>
      <c r="J18" s="58" t="s">
        <v>56</v>
      </c>
      <c r="K18" s="58" t="s">
        <v>66</v>
      </c>
      <c r="L18" s="77" t="s">
        <v>107</v>
      </c>
      <c r="M18" s="77" t="s">
        <v>142</v>
      </c>
      <c r="N18" s="79"/>
    </row>
    <row r="19" spans="1:14" s="3" customFormat="1" ht="13.5" customHeight="1" x14ac:dyDescent="0.2">
      <c r="A19" s="38"/>
      <c r="B19" s="49">
        <f t="shared" si="0"/>
        <v>10</v>
      </c>
      <c r="C19" s="61">
        <v>1</v>
      </c>
      <c r="D19" s="56" t="s">
        <v>43</v>
      </c>
      <c r="E19" s="56" t="s">
        <v>50</v>
      </c>
      <c r="F19" s="56" t="s">
        <v>67</v>
      </c>
      <c r="G19" s="57" t="s">
        <v>78</v>
      </c>
      <c r="H19" s="57" t="s">
        <v>89</v>
      </c>
      <c r="I19" s="57" t="s">
        <v>103</v>
      </c>
      <c r="J19" s="77" t="s">
        <v>107</v>
      </c>
      <c r="K19" s="77" t="s">
        <v>118</v>
      </c>
      <c r="L19" s="58"/>
      <c r="M19" s="58"/>
      <c r="N19" s="79"/>
    </row>
    <row r="20" spans="1:14" s="3" customFormat="1" ht="13.5" customHeight="1" x14ac:dyDescent="0.2">
      <c r="A20" s="38"/>
      <c r="B20" s="50">
        <f t="shared" si="0"/>
        <v>11</v>
      </c>
      <c r="C20" s="62" t="s">
        <v>130</v>
      </c>
      <c r="D20" s="59" t="s">
        <v>128</v>
      </c>
      <c r="E20" s="59" t="s">
        <v>57</v>
      </c>
      <c r="F20" s="59" t="s">
        <v>129</v>
      </c>
      <c r="G20" s="59"/>
      <c r="H20" s="59" t="s">
        <v>131</v>
      </c>
      <c r="I20" s="59" t="s">
        <v>104</v>
      </c>
      <c r="J20" s="60" t="s">
        <v>110</v>
      </c>
      <c r="K20" s="60" t="s">
        <v>132</v>
      </c>
      <c r="L20" s="78" t="s">
        <v>107</v>
      </c>
      <c r="M20" s="78" t="s">
        <v>147</v>
      </c>
      <c r="N20" s="80"/>
    </row>
    <row r="21" spans="1:14" s="3" customFormat="1" ht="13.5" customHeight="1" x14ac:dyDescent="0.2">
      <c r="A21" s="38"/>
      <c r="B21" s="49">
        <f t="shared" si="0"/>
        <v>12</v>
      </c>
      <c r="C21" s="61">
        <v>3</v>
      </c>
      <c r="D21" s="56" t="s">
        <v>44</v>
      </c>
      <c r="E21" s="56" t="s">
        <v>56</v>
      </c>
      <c r="F21" s="56" t="s">
        <v>68</v>
      </c>
      <c r="G21" s="57"/>
      <c r="H21" s="57" t="s">
        <v>90</v>
      </c>
      <c r="I21" s="57" t="s">
        <v>102</v>
      </c>
      <c r="J21" s="58" t="s">
        <v>56</v>
      </c>
      <c r="K21" s="58" t="s">
        <v>68</v>
      </c>
      <c r="L21" s="77" t="s">
        <v>107</v>
      </c>
      <c r="M21" s="77" t="s">
        <v>143</v>
      </c>
      <c r="N21" s="79"/>
    </row>
    <row r="22" spans="1:14" s="3" customFormat="1" ht="13.5" customHeight="1" x14ac:dyDescent="0.2">
      <c r="A22" s="38"/>
      <c r="B22" s="50">
        <f t="shared" si="0"/>
        <v>13</v>
      </c>
      <c r="C22" s="62">
        <v>1</v>
      </c>
      <c r="D22" s="59" t="s">
        <v>45</v>
      </c>
      <c r="E22" s="59" t="s">
        <v>56</v>
      </c>
      <c r="F22" s="59" t="s">
        <v>69</v>
      </c>
      <c r="G22" s="59"/>
      <c r="H22" s="59" t="s">
        <v>91</v>
      </c>
      <c r="I22" s="59" t="s">
        <v>102</v>
      </c>
      <c r="J22" s="60" t="s">
        <v>56</v>
      </c>
      <c r="K22" s="60" t="s">
        <v>69</v>
      </c>
      <c r="L22" s="78" t="s">
        <v>107</v>
      </c>
      <c r="M22" s="78" t="s">
        <v>144</v>
      </c>
      <c r="N22" s="80"/>
    </row>
    <row r="23" spans="1:14" s="3" customFormat="1" ht="13.5" customHeight="1" x14ac:dyDescent="0.2">
      <c r="A23" s="38"/>
      <c r="B23" s="49">
        <f t="shared" si="0"/>
        <v>14</v>
      </c>
      <c r="C23" s="61">
        <v>1</v>
      </c>
      <c r="D23" s="56" t="s">
        <v>46</v>
      </c>
      <c r="E23" s="56" t="s">
        <v>58</v>
      </c>
      <c r="F23" s="56" t="s">
        <v>70</v>
      </c>
      <c r="G23" s="57"/>
      <c r="H23" s="57" t="s">
        <v>92</v>
      </c>
      <c r="I23" s="57" t="s">
        <v>102</v>
      </c>
      <c r="J23" s="58" t="s">
        <v>58</v>
      </c>
      <c r="K23" s="58" t="s">
        <v>70</v>
      </c>
      <c r="L23" s="77" t="s">
        <v>107</v>
      </c>
      <c r="M23" s="77" t="s">
        <v>145</v>
      </c>
      <c r="N23" s="79"/>
    </row>
    <row r="24" spans="1:14" s="3" customFormat="1" ht="13.5" customHeight="1" x14ac:dyDescent="0.2">
      <c r="A24" s="38"/>
      <c r="B24" s="50">
        <f t="shared" si="0"/>
        <v>15</v>
      </c>
      <c r="C24" s="62">
        <v>2</v>
      </c>
      <c r="D24" s="59" t="s">
        <v>47</v>
      </c>
      <c r="E24" s="59" t="s">
        <v>59</v>
      </c>
      <c r="F24" s="59" t="s">
        <v>71</v>
      </c>
      <c r="G24" s="59"/>
      <c r="H24" s="59" t="s">
        <v>93</v>
      </c>
      <c r="I24" s="59" t="s">
        <v>105</v>
      </c>
      <c r="J24" s="60" t="s">
        <v>111</v>
      </c>
      <c r="K24" s="60" t="s">
        <v>71</v>
      </c>
      <c r="L24" s="78" t="s">
        <v>107</v>
      </c>
      <c r="M24" s="78" t="s">
        <v>146</v>
      </c>
      <c r="N24" s="80"/>
    </row>
    <row r="25" spans="1:14" x14ac:dyDescent="0.2">
      <c r="A25" s="38"/>
      <c r="B25" s="55" t="s">
        <v>23</v>
      </c>
      <c r="C25" s="68" t="s">
        <v>31</v>
      </c>
      <c r="D25" s="52"/>
      <c r="E25" s="36"/>
      <c r="F25" s="35"/>
      <c r="G25" s="34"/>
      <c r="H25" s="5" t="s">
        <v>19</v>
      </c>
      <c r="J25" s="54"/>
      <c r="K25" s="54"/>
      <c r="L25" s="54"/>
      <c r="M25" s="54"/>
      <c r="N25" s="53"/>
    </row>
    <row r="26" spans="1:14" x14ac:dyDescent="0.2">
      <c r="A26" s="38"/>
      <c r="B26" s="8"/>
      <c r="C26" s="8"/>
      <c r="D26" s="8"/>
      <c r="E26" s="8"/>
      <c r="F26" s="7"/>
      <c r="G26" s="9"/>
      <c r="H26" s="6"/>
      <c r="I26" s="6"/>
      <c r="J26" s="7"/>
      <c r="K26" s="7"/>
      <c r="L26" s="7"/>
      <c r="M26" s="7"/>
      <c r="N26" s="14"/>
    </row>
    <row r="27" spans="1:14" x14ac:dyDescent="0.2">
      <c r="A27" s="38"/>
      <c r="B27" s="8"/>
      <c r="C27" s="8"/>
      <c r="D27" s="8"/>
      <c r="E27" s="8"/>
      <c r="F27" s="8"/>
      <c r="G27" s="10"/>
      <c r="H27" s="7"/>
      <c r="I27" s="7"/>
      <c r="J27" s="7"/>
      <c r="K27" s="7"/>
      <c r="L27" s="7"/>
      <c r="M27" s="7"/>
      <c r="N27" s="15"/>
    </row>
    <row r="28" spans="1:14" x14ac:dyDescent="0.2">
      <c r="A28" s="38"/>
      <c r="B28" s="8"/>
      <c r="C28" s="8"/>
      <c r="D28" s="8"/>
      <c r="E28" s="8"/>
      <c r="F28" s="8"/>
      <c r="G28" s="10"/>
      <c r="H28" s="7"/>
      <c r="I28" s="7" t="s">
        <v>21</v>
      </c>
      <c r="J28" s="7"/>
      <c r="K28" s="7"/>
      <c r="L28" s="7"/>
      <c r="M28" s="7"/>
      <c r="N28" s="15"/>
    </row>
    <row r="29" spans="1:14" ht="13.5" thickBot="1" x14ac:dyDescent="0.25">
      <c r="A29" s="38"/>
      <c r="B29" s="33"/>
      <c r="C29" s="13"/>
      <c r="D29" s="13"/>
      <c r="E29" s="13"/>
      <c r="F29" s="13"/>
      <c r="G29" s="11"/>
      <c r="H29" s="12"/>
      <c r="I29" s="12"/>
      <c r="J29" s="12"/>
      <c r="K29" s="12"/>
      <c r="L29" s="12"/>
      <c r="M29" s="12"/>
      <c r="N29" s="16"/>
    </row>
    <row r="31" spans="1:14" x14ac:dyDescent="0.2">
      <c r="D31" s="1"/>
      <c r="E31" s="1"/>
      <c r="F31" s="1"/>
      <c r="G31" s="1"/>
    </row>
    <row r="32" spans="1:14" x14ac:dyDescent="0.2">
      <c r="D32" s="1"/>
      <c r="E32" s="1"/>
      <c r="F32" s="1"/>
      <c r="G32" s="1"/>
    </row>
    <row r="33" spans="4:7" x14ac:dyDescent="0.2">
      <c r="D33" s="1"/>
      <c r="E33" s="1"/>
      <c r="F33" s="1"/>
      <c r="G33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9" t="s">
        <v>122</v>
      </c>
    </row>
    <row r="2" spans="1:2" x14ac:dyDescent="0.2">
      <c r="A2" s="31" t="s">
        <v>1</v>
      </c>
      <c r="B2" s="70" t="s">
        <v>27</v>
      </c>
    </row>
    <row r="3" spans="1:2" x14ac:dyDescent="0.2">
      <c r="A3" s="32" t="s">
        <v>2</v>
      </c>
      <c r="B3" s="71" t="s">
        <v>28</v>
      </c>
    </row>
    <row r="4" spans="1:2" x14ac:dyDescent="0.2">
      <c r="A4" s="31" t="s">
        <v>3</v>
      </c>
      <c r="B4" s="70" t="s">
        <v>26</v>
      </c>
    </row>
    <row r="5" spans="1:2" x14ac:dyDescent="0.2">
      <c r="A5" s="32" t="s">
        <v>4</v>
      </c>
      <c r="B5" s="71" t="s">
        <v>123</v>
      </c>
    </row>
    <row r="6" spans="1:2" x14ac:dyDescent="0.2">
      <c r="A6" s="31" t="s">
        <v>5</v>
      </c>
      <c r="B6" s="70" t="s">
        <v>25</v>
      </c>
    </row>
    <row r="7" spans="1:2" x14ac:dyDescent="0.2">
      <c r="A7" s="32" t="s">
        <v>6</v>
      </c>
      <c r="B7" s="71" t="s">
        <v>31</v>
      </c>
    </row>
    <row r="8" spans="1:2" x14ac:dyDescent="0.2">
      <c r="A8" s="31" t="s">
        <v>7</v>
      </c>
      <c r="B8" s="70" t="s">
        <v>30</v>
      </c>
    </row>
    <row r="9" spans="1:2" x14ac:dyDescent="0.2">
      <c r="A9" s="32" t="s">
        <v>8</v>
      </c>
      <c r="B9" s="71" t="s">
        <v>29</v>
      </c>
    </row>
    <row r="10" spans="1:2" x14ac:dyDescent="0.2">
      <c r="A10" s="31" t="s">
        <v>9</v>
      </c>
      <c r="B10" s="70" t="s">
        <v>124</v>
      </c>
    </row>
    <row r="11" spans="1:2" x14ac:dyDescent="0.2">
      <c r="A11" s="32" t="s">
        <v>10</v>
      </c>
      <c r="B11" s="71" t="s">
        <v>125</v>
      </c>
    </row>
    <row r="12" spans="1:2" x14ac:dyDescent="0.2">
      <c r="A12" s="31" t="s">
        <v>11</v>
      </c>
      <c r="B12" s="70" t="s">
        <v>126</v>
      </c>
    </row>
    <row r="13" spans="1:2" x14ac:dyDescent="0.2">
      <c r="A13" s="32" t="s">
        <v>12</v>
      </c>
      <c r="B13" s="71" t="s">
        <v>127</v>
      </c>
    </row>
    <row r="14" spans="1:2" x14ac:dyDescent="0.2">
      <c r="A14" s="31" t="s">
        <v>13</v>
      </c>
      <c r="B14" s="70" t="s">
        <v>125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2021-05-28T13:50:06Z</dcterms:modified>
</cp:coreProperties>
</file>