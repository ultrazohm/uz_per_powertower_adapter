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ilflingti66489\Documents\powertower_adapter_uz\01_Altium_Project\Project Outputs for PowerTower_AdapterUltrazohm\"/>
    </mc:Choice>
  </mc:AlternateContent>
  <xr:revisionPtr revIDLastSave="0" documentId="13_ncr:1_{3FA0BBE3-8451-4D15-AE97-F36A1A71AF02}" xr6:coauthVersionLast="45" xr6:coauthVersionMax="45" xr10:uidLastSave="{00000000-0000-0000-0000-000000000000}"/>
  <bookViews>
    <workbookView xWindow="22932" yWindow="-108" windowWidth="23256" windowHeight="12576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4" i="3" l="1"/>
  <c r="B43" i="3"/>
  <c r="B42" i="3"/>
  <c r="B41" i="3"/>
  <c r="B40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 l="1"/>
  <c r="B10" i="3"/>
  <c r="G8" i="3"/>
  <c r="H8" i="3"/>
</calcChain>
</file>

<file path=xl/sharedStrings.xml><?xml version="1.0" encoding="utf-8"?>
<sst xmlns="http://schemas.openxmlformats.org/spreadsheetml/2006/main" count="357" uniqueCount="238">
  <si>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</si>
  <si>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</si>
  <si>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</si>
  <si>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</si>
  <si>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</si>
  <si>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</si>
  <si>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</si>
  <si>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</si>
  <si>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</si>
  <si>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</si>
  <si>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</si>
  <si>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</si>
  <si>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</si>
  <si>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</si>
  <si>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</si>
  <si>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</si>
  <si>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</si>
  <si>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</si>
  <si>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</si>
  <si>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Notes</t>
  </si>
  <si>
    <t>#</t>
  </si>
  <si>
    <t xml:space="preserve"> </t>
  </si>
  <si>
    <t>Bill of Material</t>
  </si>
  <si>
    <t>Total:</t>
  </si>
  <si>
    <t>Fabrication Notes</t>
  </si>
  <si>
    <t>Bill of Materials for PCB Document [PCB2.PcbDoc]</t>
  </si>
  <si>
    <t>PCB2.PcbDoc</t>
  </si>
  <si>
    <t>PowerTower_AdapterUltrazohm.PrjPcb</t>
  </si>
  <si>
    <t>None</t>
  </si>
  <si>
    <t>26.05.2021</t>
  </si>
  <si>
    <t>16:41</t>
  </si>
  <si>
    <t>131</t>
  </si>
  <si>
    <t>Quantity</t>
  </si>
  <si>
    <t>Designator</t>
  </si>
  <si>
    <t>C1</t>
  </si>
  <si>
    <t>C2, C4, C5, C6, C7, C11, C12, C13, C20</t>
  </si>
  <si>
    <t>C3</t>
  </si>
  <si>
    <t>C8, C9</t>
  </si>
  <si>
    <t>C10</t>
  </si>
  <si>
    <t>C14</t>
  </si>
  <si>
    <t>C16, C17, C21, C22</t>
  </si>
  <si>
    <t>C18, C19, C23, C24</t>
  </si>
  <si>
    <t>D2, D3</t>
  </si>
  <si>
    <t>F1, F2</t>
  </si>
  <si>
    <t>IC3</t>
  </si>
  <si>
    <t>J1</t>
  </si>
  <si>
    <t>P8, X4, X5, X6</t>
  </si>
  <si>
    <t>PS</t>
  </si>
  <si>
    <t>R1</t>
  </si>
  <si>
    <t>R2, R3, R4, R5, R6, R7, R8, R9, R10, R11, R12, R13</t>
  </si>
  <si>
    <t>R14, R16, R28, R30, R32, R34, R36, R38</t>
  </si>
  <si>
    <t>R15, R17, R29, R31, R33, R35, R37, R39</t>
  </si>
  <si>
    <t>R18, R24, R51, R57, R58, R59</t>
  </si>
  <si>
    <t>R19, R26</t>
  </si>
  <si>
    <t>R20, R23, R50, R52, R53, R56</t>
  </si>
  <si>
    <t>R21, R22, R40, R42, R44, R45, R46, R47, R48, R49, R54, R55</t>
  </si>
  <si>
    <t>R25, R41</t>
  </si>
  <si>
    <t>R27, R43</t>
  </si>
  <si>
    <t>R60</t>
  </si>
  <si>
    <t>R61, R62, R63, R64, R65, R66, R79, R80</t>
  </si>
  <si>
    <t>R67, R68, R69, R70, R71, R72, R73, R74, R75, R76, R77, R78, R81, R82, R83, R84</t>
  </si>
  <si>
    <t>R85</t>
  </si>
  <si>
    <t>U1</t>
  </si>
  <si>
    <t>X1, X2, X3</t>
  </si>
  <si>
    <t>X7</t>
  </si>
  <si>
    <t>X8</t>
  </si>
  <si>
    <t>X9, X10</t>
  </si>
  <si>
    <t>Manufacturer</t>
  </si>
  <si>
    <t>muRata</t>
  </si>
  <si>
    <t>KEMET</t>
  </si>
  <si>
    <t>Wuerth Elektronik</t>
  </si>
  <si>
    <t>Panasonic</t>
  </si>
  <si>
    <t>Taiyo Yuden</t>
  </si>
  <si>
    <t>Littelfuse</t>
  </si>
  <si>
    <t>Analog Devices</t>
  </si>
  <si>
    <t>Amphenol</t>
  </si>
  <si>
    <t>Wurth</t>
  </si>
  <si>
    <t>RECOM</t>
  </si>
  <si>
    <t>KOA Speer</t>
  </si>
  <si>
    <t>-</t>
  </si>
  <si>
    <t>Texas Instruments</t>
  </si>
  <si>
    <t>SAMTEC</t>
  </si>
  <si>
    <t>WURTH</t>
  </si>
  <si>
    <t>Manufacturer Part Number</t>
  </si>
  <si>
    <t>GRM219R61E106KA12D</t>
  </si>
  <si>
    <t>C0603C104J3REC7411, C0603X104K5RAC7411</t>
  </si>
  <si>
    <t>865080142007</t>
  </si>
  <si>
    <t>EEE-FK1H101P</t>
  </si>
  <si>
    <t>UMK107AB7105KA-T</t>
  </si>
  <si>
    <t>C0805C104J5RECTU</t>
  </si>
  <si>
    <t>885012006057</t>
  </si>
  <si>
    <t>GCJ188R71H103KA01D</t>
  </si>
  <si>
    <t>150060GS84000, 150060RS86000</t>
  </si>
  <si>
    <t>0154001.DR</t>
  </si>
  <si>
    <t>AD8554ARZ</t>
  </si>
  <si>
    <t>RJHSE538002</t>
  </si>
  <si>
    <t>691382000003</t>
  </si>
  <si>
    <t>R-78C3.3-1.0</t>
  </si>
  <si>
    <t>RK73B1JTTDD751J</t>
  </si>
  <si>
    <t>RK73B1JTTD103J</t>
  </si>
  <si>
    <t>RK73B1JTTD203J</t>
  </si>
  <si>
    <t>RK73B1JTTD303J</t>
  </si>
  <si>
    <t>RK73B1JTTDD241J</t>
  </si>
  <si>
    <t>RK73B1JTTDD242J</t>
  </si>
  <si>
    <t>RK73B1JTTD561J</t>
  </si>
  <si>
    <t>RK73B1JTTDD563J</t>
  </si>
  <si>
    <t>RK73B1JTTD201J</t>
  </si>
  <si>
    <t>RK73B1JTTDD913J</t>
  </si>
  <si>
    <t>RK73B1JTTDD112J</t>
  </si>
  <si>
    <t>RK73B1JTTDD470J</t>
  </si>
  <si>
    <t>RK73B1JTTDD105J</t>
  </si>
  <si>
    <t>173010578</t>
  </si>
  <si>
    <t>61201421621</t>
  </si>
  <si>
    <t>61200621621</t>
  </si>
  <si>
    <t>IPL1-115-01-L-D-RA-K</t>
  </si>
  <si>
    <t>61300911121</t>
  </si>
  <si>
    <t>Value</t>
  </si>
  <si>
    <t>10 µF</t>
  </si>
  <si>
    <t>0.1 µF</t>
  </si>
  <si>
    <t>100 µF</t>
  </si>
  <si>
    <t>1 µF</t>
  </si>
  <si>
    <t>100 pF</t>
  </si>
  <si>
    <t>0.01 µF</t>
  </si>
  <si>
    <t>1 A</t>
  </si>
  <si>
    <t>Rail-to-Rail</t>
  </si>
  <si>
    <t>3V3@1A</t>
  </si>
  <si>
    <t>750R</t>
  </si>
  <si>
    <t>10k</t>
  </si>
  <si>
    <t>20k</t>
  </si>
  <si>
    <t>30k</t>
  </si>
  <si>
    <t>240R</t>
  </si>
  <si>
    <t>2k4</t>
  </si>
  <si>
    <t>560R</t>
  </si>
  <si>
    <t>56k</t>
  </si>
  <si>
    <t>200R</t>
  </si>
  <si>
    <t>91k</t>
  </si>
  <si>
    <t>1k1</t>
  </si>
  <si>
    <t>dnp</t>
  </si>
  <si>
    <t>47R</t>
  </si>
  <si>
    <t>1M</t>
  </si>
  <si>
    <t>5 W</t>
  </si>
  <si>
    <t>Description</t>
  </si>
  <si>
    <t>Capacitor 0805, 25 VDC, 10 µF, X5R</t>
  </si>
  <si>
    <t>Capacitor 0603, 25 VDC, 0.1 µF, X7R, Capacitor 0603, 50 VDC, 0.1 µF, X7R</t>
  </si>
  <si>
    <t>Capacitor WCAP, 6.3 VDC, 100 µF</t>
  </si>
  <si>
    <t>Capacitor EEE, 50 VDC, 100 µF</t>
  </si>
  <si>
    <t>Capacitor 0603, 50 VDC, 1 µF, X7R</t>
  </si>
  <si>
    <t>Capacitor 0805, 50 VDC, 0.1 µF, X7R</t>
  </si>
  <si>
    <t>Capacitor 0603, 50 VDC, 100 pF, C0G</t>
  </si>
  <si>
    <t>Capacitor 0603, 50 VDC, 0.01 µF, X7R</t>
  </si>
  <si>
    <t>WL-SMCW SMD Mono-color Chip LED Waterclear Green, WL-SMCW SMD Mono-color Chip LED Waterclear Red</t>
  </si>
  <si>
    <t>Duse OMNI BLOK 154</t>
  </si>
  <si>
    <t>Differential Amplifier, 3V 1.5MHz, 145dB</t>
  </si>
  <si>
    <t>CAT5, RJ45 Connector, 1x2</t>
  </si>
  <si>
    <t>2.5mm Single Row 3-pol Vertical PCB Header</t>
  </si>
  <si>
    <t>Not isolated DCDC Converter 3V3 Output, 1A, 7 - 42V Input</t>
  </si>
  <si>
    <t>SMD resistor E24 series</t>
  </si>
  <si>
    <t>Not isolated DCDC Converter 5 V Output, 1 A, 8 - 28 V Input</t>
  </si>
  <si>
    <t>2.54mm Double Row 14-pol Vertical Male Pin Box Header</t>
  </si>
  <si>
    <t>2.54mm Double Row 6-pol Vertical Male Pin Box Header</t>
  </si>
  <si>
    <t>Terminal Assembly, Double Row, Right Angle, Thru-Hole, 2.54 mm x 2.54 mm Pitch, 30 Pins</t>
  </si>
  <si>
    <t>Pin Header, 2.54mm, 9 Pins, Single Row</t>
  </si>
  <si>
    <t>Device Package</t>
  </si>
  <si>
    <t>0805</t>
  </si>
  <si>
    <t>0603</t>
  </si>
  <si>
    <t>WCAP</t>
  </si>
  <si>
    <t>EEE</t>
  </si>
  <si>
    <t>OMNI-BLOK</t>
  </si>
  <si>
    <t>SOIC-14</t>
  </si>
  <si>
    <t>RJ45</t>
  </si>
  <si>
    <t>Connector</t>
  </si>
  <si>
    <t>SIP-3</t>
  </si>
  <si>
    <t>FDSM</t>
  </si>
  <si>
    <t>SOIC</t>
  </si>
  <si>
    <t>THT</t>
  </si>
  <si>
    <t>Supplier 1</t>
  </si>
  <si>
    <t>Mouser</t>
  </si>
  <si>
    <t>RS</t>
  </si>
  <si>
    <t>Farnell</t>
  </si>
  <si>
    <t>Digi-Key, Mouser</t>
  </si>
  <si>
    <t>Wurth Electronik</t>
  </si>
  <si>
    <t>Supplier Part Number 1</t>
  </si>
  <si>
    <t>81-GRM219R61E106KA2D</t>
  </si>
  <si>
    <t>80-C0603C104J3RE7411, 80-C0603X104K5R7411</t>
  </si>
  <si>
    <t>710-865080142007</t>
  </si>
  <si>
    <t>667-EEE-FK1H101P</t>
  </si>
  <si>
    <t>963-UMK107AB7105KA-T</t>
  </si>
  <si>
    <t>80-C0805C104J5RECTU</t>
  </si>
  <si>
    <t>710-885012006057</t>
  </si>
  <si>
    <t>81-GCJ188R71H103KA1D</t>
  </si>
  <si>
    <t>710-150060GS84000, 710-150060RS86000</t>
  </si>
  <si>
    <t>576-0154001.DR</t>
  </si>
  <si>
    <t>412-995</t>
  </si>
  <si>
    <t>1860605</t>
  </si>
  <si>
    <t>739-8297</t>
  </si>
  <si>
    <t>660-RK73B1JTTDD751J</t>
  </si>
  <si>
    <t>660-RK73B1JTTD103J</t>
  </si>
  <si>
    <t>660-RK73B1JTTD203J</t>
  </si>
  <si>
    <t>660-RK73B1JTTD303J</t>
  </si>
  <si>
    <t>660-RK73B1JTTDD241J</t>
  </si>
  <si>
    <t>660-RK73B1JTTDD242J</t>
  </si>
  <si>
    <t>660-RK73B1JTTD561J</t>
  </si>
  <si>
    <t>660-RK73B1JTTDD563J</t>
  </si>
  <si>
    <t>660-RK73B1JTTD201J</t>
  </si>
  <si>
    <t>660-RK73B1JTTDD913J</t>
  </si>
  <si>
    <t>660-RK73B1JTTDD112J</t>
  </si>
  <si>
    <t>660-RK73B1JTTDD470J</t>
  </si>
  <si>
    <t>660-RK73B1JTTDD105J</t>
  </si>
  <si>
    <t>710-173010578</t>
  </si>
  <si>
    <t>DS26C31TMX/NOPBCT-ND, 926-DS26LV32ATM/NOPB</t>
  </si>
  <si>
    <t>Supplier 2</t>
  </si>
  <si>
    <t>[NoParam], LCSC</t>
  </si>
  <si>
    <t>LCSC</t>
  </si>
  <si>
    <t>Supplier Part Number 2</t>
  </si>
  <si>
    <t>[NoParam], #NAME?</t>
  </si>
  <si>
    <t>3408612, 3408608</t>
  </si>
  <si>
    <t>#NAME?</t>
  </si>
  <si>
    <t>926-DS26C31TMX/NOPB, 926-DS26LV32ATMXNOPB</t>
  </si>
  <si>
    <t>C:\Users\wilflingti66489\Documents\powertower_adapter_uz\01_Altium_Project\PowerTower_AdapterUltrazohm.PrjPcb</t>
  </si>
  <si>
    <t>C:\Users\wilflingti66489\Documents\powertower_adapter_uz\01_Altium_Project\PCB2.PcbDoc</t>
  </si>
  <si>
    <t>26.05.2021 16:41</t>
  </si>
  <si>
    <t>Bill of Materials</t>
  </si>
  <si>
    <t>BOM_PartType</t>
  </si>
  <si>
    <t>BOM</t>
  </si>
  <si>
    <t>U2, U3</t>
  </si>
  <si>
    <t>U4, U5</t>
  </si>
  <si>
    <t>DS26C31TMX/NOPB</t>
  </si>
  <si>
    <t>2</t>
  </si>
  <si>
    <t>CMOS Quad Tri-State Differential Line Drivers, 16-pin Narrow SOIC, Pb-Free, 3V</t>
  </si>
  <si>
    <t>DS26C31TMX/NOPBCT-ND</t>
  </si>
  <si>
    <t>DS26LV32ATM/NOPB</t>
  </si>
  <si>
    <t xml:space="preserve"> Enhanced CMOS Quad Differential Line Receiver, 16-pin Narrow SOIC, Pb-Free</t>
  </si>
  <si>
    <t>710-</t>
  </si>
  <si>
    <t>200-</t>
  </si>
  <si>
    <t xml:space="preserve">Ersatz: TMK212BBJ106KG-T </t>
  </si>
  <si>
    <t xml:space="preserve">Ersatz: EEE-FK0J101V </t>
  </si>
  <si>
    <t xml:space="preserve">Ersatz: MAL216099101E3 </t>
  </si>
  <si>
    <t xml:space="preserve">Ersatz: DS34LV86TM/NOPB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</si>
</sst>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53A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5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1" fillId="0" borderId="6" xfId="0" applyNumberFormat="1" applyFont="1" applyFill="1" applyBorder="1" applyAlignment="1" applyProtection="1">
      <alignment vertical="top"/>
      <protection locked="0"/>
    </xf>
    <xf numFmtId="0" fontId="1" fillId="0" borderId="7" xfId="0" applyNumberFormat="1" applyFont="1" applyFill="1" applyBorder="1" applyAlignment="1" applyProtection="1">
      <alignment vertical="top"/>
      <protection locked="0"/>
    </xf>
    <xf numFmtId="0" fontId="1" fillId="0" borderId="8" xfId="0" applyNumberFormat="1" applyFont="1" applyFill="1" applyBorder="1" applyAlignment="1" applyProtection="1">
      <alignment vertical="top"/>
      <protection locked="0"/>
    </xf>
    <xf numFmtId="0" fontId="0" fillId="0" borderId="9" xfId="0" applyBorder="1" applyAlignment="1">
      <alignment vertical="top"/>
    </xf>
    <xf numFmtId="0" fontId="8" fillId="3" borderId="0" xfId="0" applyFont="1" applyFill="1" applyBorder="1" applyAlignment="1"/>
    <xf numFmtId="0" fontId="9" fillId="3" borderId="0" xfId="0" applyFont="1" applyFill="1" applyBorder="1" applyAlignment="1">
      <alignment horizontal="left"/>
    </xf>
    <xf numFmtId="0" fontId="9" fillId="3" borderId="0" xfId="0" applyFont="1" applyFill="1" applyBorder="1" applyAlignment="1"/>
    <xf numFmtId="0" fontId="9" fillId="3" borderId="7" xfId="0" applyFont="1" applyFill="1" applyBorder="1" applyAlignment="1"/>
    <xf numFmtId="0" fontId="9" fillId="3" borderId="10" xfId="0" applyFont="1" applyFill="1" applyBorder="1" applyAlignment="1"/>
    <xf numFmtId="0" fontId="8" fillId="3" borderId="11" xfId="0" applyFont="1" applyFill="1" applyBorder="1" applyAlignment="1">
      <alignment horizontal="left"/>
    </xf>
    <xf numFmtId="0" fontId="9" fillId="3" borderId="11" xfId="0" applyFont="1" applyFill="1" applyBorder="1" applyAlignment="1"/>
    <xf numFmtId="0" fontId="8" fillId="3" borderId="11" xfId="0" applyFont="1" applyFill="1" applyBorder="1" applyAlignment="1"/>
    <xf numFmtId="0" fontId="9" fillId="3" borderId="11" xfId="0" applyFont="1" applyFill="1" applyBorder="1" applyAlignment="1">
      <alignment horizontal="left"/>
    </xf>
    <xf numFmtId="0" fontId="8" fillId="3" borderId="7" xfId="0" applyFont="1" applyFill="1" applyBorder="1" applyAlignment="1"/>
    <xf numFmtId="0" fontId="10" fillId="3" borderId="0" xfId="0" applyFont="1" applyFill="1" applyBorder="1" applyAlignment="1"/>
    <xf numFmtId="0" fontId="11" fillId="3" borderId="12" xfId="0" applyFont="1" applyFill="1" applyBorder="1" applyAlignment="1">
      <alignment vertical="center"/>
    </xf>
    <xf numFmtId="0" fontId="11" fillId="3" borderId="13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horizontal="left" vertical="center"/>
    </xf>
    <xf numFmtId="0" fontId="1" fillId="0" borderId="15" xfId="0" applyNumberFormat="1" applyFont="1" applyFill="1" applyBorder="1" applyAlignment="1" applyProtection="1">
      <alignment vertical="top"/>
      <protection locked="0"/>
    </xf>
    <xf numFmtId="0" fontId="1" fillId="0" borderId="16" xfId="0" applyNumberFormat="1" applyFont="1" applyFill="1" applyBorder="1" applyAlignment="1" applyProtection="1">
      <alignment horizontal="left" vertical="top"/>
      <protection locked="0"/>
    </xf>
    <xf numFmtId="0" fontId="1" fillId="0" borderId="10" xfId="0" applyNumberFormat="1" applyFont="1" applyFill="1" applyBorder="1" applyAlignment="1" applyProtection="1">
      <alignment horizontal="left" vertical="top"/>
      <protection locked="0"/>
    </xf>
    <xf numFmtId="0" fontId="15" fillId="0" borderId="11" xfId="0" applyNumberFormat="1" applyFont="1" applyFill="1" applyBorder="1" applyAlignment="1" applyProtection="1">
      <alignment horizontal="left" vertical="top"/>
      <protection locked="0"/>
    </xf>
    <xf numFmtId="0" fontId="5" fillId="5" borderId="0" xfId="0" applyFont="1" applyFill="1" applyBorder="1" applyAlignment="1"/>
    <xf numFmtId="0" fontId="5" fillId="5" borderId="7" xfId="0" applyFont="1" applyFill="1" applyBorder="1" applyAlignment="1"/>
    <xf numFmtId="0" fontId="5" fillId="5" borderId="17" xfId="0" applyFont="1" applyFill="1" applyBorder="1" applyAlignment="1"/>
    <xf numFmtId="0" fontId="5" fillId="5" borderId="1" xfId="0" applyFont="1" applyFill="1" applyBorder="1" applyAlignment="1"/>
    <xf numFmtId="0" fontId="5" fillId="5" borderId="6" xfId="0" applyFont="1" applyFill="1" applyBorder="1" applyAlignment="1"/>
    <xf numFmtId="0" fontId="6" fillId="5" borderId="5" xfId="0" applyFont="1" applyFill="1" applyBorder="1" applyAlignment="1">
      <alignment vertical="center"/>
    </xf>
    <xf numFmtId="0" fontId="5" fillId="5" borderId="8" xfId="0" applyFont="1" applyFill="1" applyBorder="1" applyAlignment="1"/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64" fontId="9" fillId="3" borderId="11" xfId="0" applyNumberFormat="1" applyFont="1" applyFill="1" applyBorder="1" applyAlignment="1">
      <alignment horizontal="left"/>
    </xf>
    <xf numFmtId="14" fontId="9" fillId="3" borderId="11" xfId="0" applyNumberFormat="1" applyFont="1" applyFill="1" applyBorder="1" applyAlignment="1">
      <alignment horizontal="left"/>
    </xf>
    <xf numFmtId="0" fontId="7" fillId="6" borderId="21" xfId="0" applyFont="1" applyFill="1" applyBorder="1" applyAlignment="1">
      <alignment vertical="top" wrapText="1"/>
    </xf>
    <xf numFmtId="0" fontId="7" fillId="7" borderId="22" xfId="0" applyFont="1" applyFill="1" applyBorder="1" applyAlignment="1">
      <alignment vertical="top" wrapText="1"/>
    </xf>
    <xf numFmtId="0" fontId="4" fillId="5" borderId="10" xfId="0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 applyProtection="1">
      <alignment vertical="top"/>
      <protection locked="0"/>
    </xf>
    <xf numFmtId="0" fontId="14" fillId="3" borderId="23" xfId="0" applyFont="1" applyFill="1" applyBorder="1" applyAlignment="1">
      <alignment vertical="top" wrapText="1"/>
    </xf>
    <xf numFmtId="0" fontId="0" fillId="0" borderId="10" xfId="0" applyBorder="1" applyAlignment="1">
      <alignment vertical="top"/>
    </xf>
    <xf numFmtId="0" fontId="2" fillId="0" borderId="18" xfId="0" applyNumberFormat="1" applyFont="1" applyFill="1" applyBorder="1" applyAlignment="1" applyProtection="1">
      <alignment vertical="top"/>
      <protection locked="0"/>
    </xf>
    <xf numFmtId="49" fontId="7" fillId="6" borderId="24" xfId="0" applyNumberFormat="1" applyFont="1" applyFill="1" applyBorder="1" applyAlignment="1">
      <alignment vertical="top" wrapText="1"/>
    </xf>
    <xf numFmtId="49" fontId="7" fillId="6" borderId="25" xfId="0" applyNumberFormat="1" applyFont="1" applyFill="1" applyBorder="1" applyAlignment="1">
      <alignment vertical="top" wrapText="1"/>
    </xf>
    <xf numFmtId="49" fontId="7" fillId="6" borderId="26" xfId="0" applyNumberFormat="1" applyFont="1" applyFill="1" applyBorder="1" applyAlignment="1">
      <alignment vertical="top" wrapText="1"/>
    </xf>
    <xf numFmtId="49" fontId="7" fillId="7" borderId="28" xfId="0" applyNumberFormat="1" applyFont="1" applyFill="1" applyBorder="1" applyAlignment="1">
      <alignment vertical="top" wrapText="1"/>
    </xf>
    <xf numFmtId="49" fontId="7" fillId="7" borderId="29" xfId="0" applyNumberFormat="1" applyFont="1" applyFill="1" applyBorder="1" applyAlignment="1">
      <alignment vertical="top" wrapText="1"/>
    </xf>
    <xf numFmtId="49" fontId="7" fillId="6" borderId="3" xfId="0" applyNumberFormat="1" applyFont="1" applyFill="1" applyBorder="1" applyAlignment="1">
      <alignment vertical="top" wrapText="1"/>
    </xf>
    <xf numFmtId="49" fontId="7" fillId="7" borderId="31" xfId="0" applyNumberFormat="1" applyFont="1" applyFill="1" applyBorder="1" applyAlignment="1">
      <alignment vertical="top" wrapText="1"/>
    </xf>
    <xf numFmtId="0" fontId="6" fillId="5" borderId="5" xfId="0" quotePrefix="1" applyFont="1" applyFill="1" applyBorder="1" applyAlignment="1">
      <alignment vertical="center"/>
    </xf>
    <xf numFmtId="0" fontId="8" fillId="3" borderId="0" xfId="0" quotePrefix="1" applyFont="1" applyFill="1" applyBorder="1" applyAlignment="1">
      <alignment horizontal="left"/>
    </xf>
    <xf numFmtId="0" fontId="8" fillId="3" borderId="10" xfId="0" quotePrefix="1" applyFont="1" applyFill="1" applyBorder="1" applyAlignment="1">
      <alignment horizontal="left"/>
    </xf>
    <xf numFmtId="0" fontId="8" fillId="3" borderId="11" xfId="0" quotePrefix="1" applyFont="1" applyFill="1" applyBorder="1" applyAlignment="1">
      <alignment horizontal="left"/>
    </xf>
    <xf numFmtId="0" fontId="9" fillId="3" borderId="1" xfId="0" quotePrefix="1" applyFont="1" applyFill="1" applyBorder="1" applyAlignment="1">
      <alignment horizontal="left"/>
    </xf>
    <xf numFmtId="0" fontId="2" fillId="0" borderId="16" xfId="0" quotePrefix="1" applyNumberFormat="1" applyFont="1" applyFill="1" applyBorder="1" applyAlignment="1" applyProtection="1">
      <alignment vertical="top"/>
      <protection locked="0"/>
    </xf>
    <xf numFmtId="0" fontId="13" fillId="4" borderId="14" xfId="0" quotePrefix="1" applyFont="1" applyFill="1" applyBorder="1" applyAlignment="1">
      <alignment horizontal="left" vertical="center"/>
    </xf>
    <xf numFmtId="0" fontId="13" fillId="2" borderId="0" xfId="0" quotePrefix="1" applyFont="1" applyFill="1" applyBorder="1" applyAlignment="1">
      <alignment horizontal="left" vertical="center"/>
    </xf>
    <xf numFmtId="0" fontId="13" fillId="4" borderId="0" xfId="0" quotePrefix="1" applyFont="1" applyFill="1" applyBorder="1" applyAlignment="1">
      <alignment horizontal="left" vertical="center"/>
    </xf>
    <xf numFmtId="0" fontId="17" fillId="5" borderId="7" xfId="0" applyFont="1" applyFill="1" applyBorder="1" applyAlignment="1"/>
    <xf numFmtId="0" fontId="18" fillId="7" borderId="22" xfId="0" applyFont="1" applyFill="1" applyBorder="1" applyAlignment="1">
      <alignment vertical="top" wrapText="1"/>
    </xf>
    <xf numFmtId="49" fontId="18" fillId="7" borderId="31" xfId="0" applyNumberFormat="1" applyFont="1" applyFill="1" applyBorder="1" applyAlignment="1">
      <alignment vertical="top" wrapText="1"/>
    </xf>
    <xf numFmtId="49" fontId="18" fillId="7" borderId="28" xfId="0" applyNumberFormat="1" applyFont="1" applyFill="1" applyBorder="1" applyAlignment="1">
      <alignment vertical="top" wrapText="1"/>
    </xf>
    <xf numFmtId="49" fontId="18" fillId="7" borderId="29" xfId="0" applyNumberFormat="1" applyFont="1" applyFill="1" applyBorder="1" applyAlignment="1">
      <alignment vertical="top" wrapText="1"/>
    </xf>
    <xf numFmtId="0" fontId="17" fillId="0" borderId="0" xfId="0" applyFont="1" applyAlignment="1">
      <alignment vertical="top"/>
    </xf>
    <xf numFmtId="0" fontId="18" fillId="6" borderId="21" xfId="0" applyFont="1" applyFill="1" applyBorder="1" applyAlignment="1">
      <alignment vertical="top" wrapText="1"/>
    </xf>
    <xf numFmtId="49" fontId="18" fillId="6" borderId="3" xfId="0" applyNumberFormat="1" applyFont="1" applyFill="1" applyBorder="1" applyAlignment="1">
      <alignment vertical="top" wrapText="1"/>
    </xf>
    <xf numFmtId="49" fontId="18" fillId="6" borderId="24" xfId="0" applyNumberFormat="1" applyFont="1" applyFill="1" applyBorder="1" applyAlignment="1">
      <alignment vertical="top" wrapText="1"/>
    </xf>
    <xf numFmtId="49" fontId="18" fillId="6" borderId="25" xfId="0" applyNumberFormat="1" applyFont="1" applyFill="1" applyBorder="1" applyAlignment="1">
      <alignment vertical="top" wrapText="1"/>
    </xf>
    <xf numFmtId="49" fontId="18" fillId="6" borderId="26" xfId="0" applyNumberFormat="1" applyFont="1" applyFill="1" applyBorder="1" applyAlignment="1">
      <alignment vertical="top" wrapText="1"/>
    </xf>
    <xf numFmtId="0" fontId="3" fillId="5" borderId="7" xfId="0" applyFont="1" applyFill="1" applyBorder="1" applyAlignment="1"/>
    <xf numFmtId="0" fontId="16" fillId="7" borderId="22" xfId="0" applyFont="1" applyFill="1" applyBorder="1" applyAlignment="1">
      <alignment vertical="top" wrapText="1"/>
    </xf>
    <xf numFmtId="49" fontId="16" fillId="7" borderId="31" xfId="0" applyNumberFormat="1" applyFont="1" applyFill="1" applyBorder="1" applyAlignment="1">
      <alignment vertical="top" wrapText="1"/>
    </xf>
    <xf numFmtId="49" fontId="16" fillId="7" borderId="28" xfId="0" applyNumberFormat="1" applyFont="1" applyFill="1" applyBorder="1" applyAlignment="1">
      <alignment vertical="top" wrapText="1"/>
    </xf>
    <xf numFmtId="49" fontId="16" fillId="7" borderId="29" xfId="0" applyNumberFormat="1" applyFont="1" applyFill="1" applyBorder="1" applyAlignment="1">
      <alignment vertical="top" wrapText="1"/>
    </xf>
    <xf numFmtId="49" fontId="7" fillId="8" borderId="26" xfId="0" applyNumberFormat="1" applyFont="1" applyFill="1" applyBorder="1" applyAlignment="1">
      <alignment vertical="top" wrapText="1"/>
    </xf>
    <xf numFmtId="49" fontId="7" fillId="8" borderId="29" xfId="0" applyNumberFormat="1" applyFont="1" applyFill="1" applyBorder="1" applyAlignment="1">
      <alignment vertical="top" wrapText="1"/>
    </xf>
    <xf numFmtId="49" fontId="16" fillId="9" borderId="29" xfId="0" applyNumberFormat="1" applyFont="1" applyFill="1" applyBorder="1" applyAlignment="1">
      <alignment vertical="top" wrapText="1"/>
    </xf>
    <xf numFmtId="49" fontId="7" fillId="9" borderId="26" xfId="0" applyNumberFormat="1" applyFont="1" applyFill="1" applyBorder="1" applyAlignment="1">
      <alignment vertical="top" wrapText="1"/>
    </xf>
    <xf numFmtId="49" fontId="7" fillId="9" borderId="29" xfId="0" applyNumberFormat="1" applyFont="1" applyFill="1" applyBorder="1" applyAlignment="1">
      <alignment vertical="top" wrapText="1"/>
    </xf>
    <xf numFmtId="49" fontId="7" fillId="10" borderId="26" xfId="0" applyNumberFormat="1" applyFont="1" applyFill="1" applyBorder="1" applyAlignment="1">
      <alignment vertical="top" wrapText="1"/>
    </xf>
    <xf numFmtId="0" fontId="7" fillId="7" borderId="21" xfId="0" applyFont="1" applyFill="1" applyBorder="1" applyAlignment="1">
      <alignment vertical="top" wrapText="1"/>
    </xf>
    <xf numFmtId="49" fontId="7" fillId="7" borderId="3" xfId="0" applyNumberFormat="1" applyFont="1" applyFill="1" applyBorder="1" applyAlignment="1">
      <alignment vertical="top" wrapText="1"/>
    </xf>
    <xf numFmtId="49" fontId="7" fillId="10" borderId="29" xfId="0" applyNumberFormat="1" applyFont="1" applyFill="1" applyBorder="1" applyAlignment="1">
      <alignment vertical="top" wrapText="1"/>
    </xf>
    <xf numFmtId="49" fontId="7" fillId="6" borderId="27" xfId="0" applyNumberFormat="1" applyFont="1" applyFill="1" applyBorder="1" applyAlignment="1">
      <alignment horizontal="left" vertical="top" wrapText="1"/>
    </xf>
    <xf numFmtId="49" fontId="18" fillId="7" borderId="30" xfId="0" applyNumberFormat="1" applyFont="1" applyFill="1" applyBorder="1" applyAlignment="1">
      <alignment horizontal="left" vertical="top" wrapText="1"/>
    </xf>
    <xf numFmtId="49" fontId="7" fillId="7" borderId="30" xfId="0" applyNumberFormat="1" applyFont="1" applyFill="1" applyBorder="1" applyAlignment="1">
      <alignment horizontal="left" vertical="top" wrapText="1"/>
    </xf>
    <xf numFmtId="49" fontId="18" fillId="6" borderId="27" xfId="0" applyNumberFormat="1" applyFont="1" applyFill="1" applyBorder="1" applyAlignment="1">
      <alignment horizontal="left" vertical="top" wrapText="1"/>
    </xf>
    <xf numFmtId="49" fontId="16" fillId="7" borderId="30" xfId="0" applyNumberFormat="1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510540</xdr:colOff>
      <xdr:row>2</xdr:row>
      <xdr:rowOff>99060</xdr:rowOff>
    </xdr:from>
    <xdr:to>
      <xdr:col>11</xdr:col>
      <xdr:colOff>220980</xdr:colOff>
      <xdr:row>5</xdr:row>
      <xdr:rowOff>60960</xdr:rowOff>
    </xdr:to>
    <xdr:pic>
      <xdr:nvPicPr>
        <xdr:cNvPr id="1039" name="Grafik 1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746760"/>
          <a:ext cx="5036820" cy="67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53"/>
  <sheetViews>
    <sheetView showGridLines="0" tabSelected="1" zoomScale="110" zoomScaleNormal="110" workbookViewId="0">
      <selection activeCell="N12" sqref="N12"/>
    </sheetView>
  </sheetViews>
  <sheetFormatPr baseColWidth="10" defaultColWidth="9.140625" defaultRowHeight="12.75" x14ac:dyDescent="0.2"/>
  <cols>
    <col min="1" max="1" width="3.140625" style="1" customWidth="1"/>
    <col min="2" max="2" width="5.42578125" style="1" customWidth="1"/>
    <col min="3" max="3" width="7.28515625" style="1" customWidth="1"/>
    <col min="4" max="4" width="20.42578125" style="4" customWidth="1"/>
    <col min="5" max="5" width="23.28515625" style="4" customWidth="1"/>
    <col min="6" max="6" width="18.140625" style="4" customWidth="1"/>
    <col min="7" max="7" width="20" style="4" customWidth="1"/>
    <col min="8" max="8" width="19" style="1" customWidth="1"/>
    <col min="9" max="9" width="12.42578125" style="1" customWidth="1"/>
    <col min="10" max="13" width="13.140625" style="1" customWidth="1"/>
    <col min="14" max="14" width="37.28515625" style="1" customWidth="1"/>
    <col min="15" max="15" width="10" style="1" customWidth="1"/>
    <col min="16" max="16384" width="9.140625" style="1"/>
  </cols>
  <sheetData>
    <row r="1" spans="1:15" ht="13.5" thickBot="1" x14ac:dyDescent="0.25">
      <c r="A1" s="37"/>
      <c r="B1" s="37"/>
      <c r="C1" s="37"/>
      <c r="D1" s="39"/>
      <c r="E1" s="39"/>
      <c r="F1" s="40"/>
      <c r="G1" s="40"/>
      <c r="H1" s="40"/>
      <c r="I1" s="40"/>
      <c r="J1" s="40"/>
      <c r="K1" s="40"/>
      <c r="L1" s="40"/>
      <c r="M1" s="40"/>
      <c r="N1" s="41"/>
      <c r="O1" s="17"/>
    </row>
    <row r="2" spans="1:15" ht="37.5" customHeight="1" thickBot="1" x14ac:dyDescent="0.25">
      <c r="A2" s="38"/>
      <c r="B2" s="29"/>
      <c r="C2" s="29" t="s">
        <v>22</v>
      </c>
      <c r="E2" s="30"/>
      <c r="F2" s="63" t="s">
        <v>25</v>
      </c>
      <c r="G2" s="42"/>
      <c r="H2" s="42"/>
      <c r="I2" s="42"/>
      <c r="J2" s="42"/>
      <c r="K2" s="42"/>
      <c r="L2" s="42"/>
      <c r="M2" s="42"/>
      <c r="N2" s="43"/>
    </row>
    <row r="3" spans="1:15" ht="23.25" customHeight="1" x14ac:dyDescent="0.2">
      <c r="A3" s="38"/>
      <c r="B3" s="18"/>
      <c r="C3" s="18" t="s">
        <v>14</v>
      </c>
      <c r="E3" s="64" t="s">
        <v>26</v>
      </c>
      <c r="F3" s="18"/>
      <c r="G3" s="19"/>
      <c r="I3" s="18"/>
      <c r="J3" s="18"/>
      <c r="K3" s="18"/>
      <c r="L3" s="18"/>
      <c r="M3" s="18"/>
      <c r="N3" s="21"/>
    </row>
    <row r="4" spans="1:15" ht="17.25" customHeight="1" x14ac:dyDescent="0.2">
      <c r="A4" s="38"/>
      <c r="B4" s="18"/>
      <c r="C4" s="18" t="s">
        <v>15</v>
      </c>
      <c r="E4" s="65" t="s">
        <v>27</v>
      </c>
      <c r="F4" s="22"/>
      <c r="G4" s="19"/>
      <c r="I4" s="20"/>
      <c r="J4" s="20"/>
      <c r="K4" s="20"/>
      <c r="L4" s="20"/>
      <c r="M4" s="20"/>
      <c r="N4" s="21"/>
    </row>
    <row r="5" spans="1:15" ht="17.25" customHeight="1" x14ac:dyDescent="0.2">
      <c r="A5" s="38"/>
      <c r="B5" s="18"/>
      <c r="C5" s="18" t="s">
        <v>16</v>
      </c>
      <c r="E5" s="66" t="s">
        <v>28</v>
      </c>
      <c r="F5" s="24"/>
      <c r="G5" s="19"/>
      <c r="I5" s="20"/>
      <c r="J5" s="20"/>
      <c r="K5" s="20"/>
      <c r="L5" s="20"/>
      <c r="M5" s="20"/>
      <c r="N5" s="21"/>
    </row>
    <row r="6" spans="1:15" x14ac:dyDescent="0.2">
      <c r="A6" s="38"/>
      <c r="B6" s="25"/>
      <c r="C6" s="25"/>
      <c r="D6" s="25"/>
      <c r="E6" s="25"/>
      <c r="F6" s="25"/>
      <c r="G6" s="23"/>
      <c r="H6" s="26"/>
      <c r="I6" s="20"/>
      <c r="J6" s="20"/>
      <c r="K6" s="20"/>
      <c r="L6" s="20"/>
      <c r="M6" s="20"/>
      <c r="N6" s="27"/>
    </row>
    <row r="7" spans="1:15" ht="15.75" customHeight="1" x14ac:dyDescent="0.2">
      <c r="A7" s="38"/>
      <c r="B7" s="28"/>
      <c r="C7" s="28" t="s">
        <v>18</v>
      </c>
      <c r="D7" s="28"/>
      <c r="E7" s="28"/>
      <c r="F7" s="28"/>
      <c r="G7" s="67" t="s">
        <v>29</v>
      </c>
      <c r="H7" s="67" t="s">
        <v>30</v>
      </c>
      <c r="I7" s="28"/>
      <c r="J7" s="28"/>
      <c r="K7" s="28"/>
      <c r="L7" s="28"/>
      <c r="M7" s="28"/>
      <c r="N7" s="21"/>
    </row>
    <row r="8" spans="1:15" ht="15.75" customHeight="1" x14ac:dyDescent="0.2">
      <c r="A8" s="38"/>
      <c r="B8" s="24"/>
      <c r="C8" s="24" t="s">
        <v>17</v>
      </c>
      <c r="E8" s="24"/>
      <c r="F8" s="24"/>
      <c r="G8" s="48">
        <f ca="1">TODAY()</f>
        <v>44346</v>
      </c>
      <c r="H8" s="47">
        <f ca="1">NOW()</f>
        <v>44346.649874305556</v>
      </c>
      <c r="I8" s="28"/>
      <c r="J8" s="28"/>
      <c r="K8" s="28"/>
      <c r="L8" s="28"/>
      <c r="M8" s="28"/>
      <c r="N8" s="21"/>
    </row>
    <row r="9" spans="1:15" s="2" customFormat="1" ht="18" customHeight="1" x14ac:dyDescent="0.2">
      <c r="A9" s="38"/>
      <c r="B9" s="44" t="s">
        <v>20</v>
      </c>
      <c r="C9" s="51" t="s">
        <v>32</v>
      </c>
      <c r="D9" s="45" t="s">
        <v>33</v>
      </c>
      <c r="E9" s="45" t="s">
        <v>67</v>
      </c>
      <c r="F9" s="45" t="s">
        <v>83</v>
      </c>
      <c r="G9" s="45" t="s">
        <v>116</v>
      </c>
      <c r="H9" s="45" t="s">
        <v>141</v>
      </c>
      <c r="I9" s="45" t="s">
        <v>162</v>
      </c>
      <c r="J9" s="45" t="s">
        <v>175</v>
      </c>
      <c r="K9" s="45" t="s">
        <v>181</v>
      </c>
      <c r="L9" s="45" t="s">
        <v>210</v>
      </c>
      <c r="M9" s="45" t="s">
        <v>213</v>
      </c>
      <c r="N9" s="46" t="s">
        <v>24</v>
      </c>
    </row>
    <row r="10" spans="1:15" s="3" customFormat="1" ht="13.5" customHeight="1" x14ac:dyDescent="0.2">
      <c r="A10" s="38"/>
      <c r="B10" s="49">
        <f t="shared" ref="B10:B44" si="0">ROW(B10) - ROW($B$9)</f>
        <v>1</v>
      </c>
      <c r="C10" s="61">
        <v>1</v>
      </c>
      <c r="D10" s="56" t="s">
        <v>34</v>
      </c>
      <c r="E10" s="56" t="s">
        <v>68</v>
      </c>
      <c r="F10" s="56" t="s">
        <v>84</v>
      </c>
      <c r="G10" s="57" t="s">
        <v>117</v>
      </c>
      <c r="H10" s="57" t="s">
        <v>142</v>
      </c>
      <c r="I10" s="57" t="s">
        <v>163</v>
      </c>
      <c r="J10" s="88" t="s">
        <v>176</v>
      </c>
      <c r="K10" s="58" t="s">
        <v>182</v>
      </c>
      <c r="L10" s="58"/>
      <c r="M10" s="58"/>
      <c r="N10" s="97" t="s">
        <v>234</v>
      </c>
    </row>
    <row r="11" spans="1:15" s="77" customFormat="1" ht="13.5" customHeight="1" x14ac:dyDescent="0.2">
      <c r="A11" s="72"/>
      <c r="B11" s="73">
        <f t="shared" si="0"/>
        <v>2</v>
      </c>
      <c r="C11" s="74">
        <v>9</v>
      </c>
      <c r="D11" s="75" t="s">
        <v>35</v>
      </c>
      <c r="E11" s="75" t="s">
        <v>69</v>
      </c>
      <c r="F11" s="75" t="s">
        <v>85</v>
      </c>
      <c r="G11" s="75" t="s">
        <v>118</v>
      </c>
      <c r="H11" s="75" t="s">
        <v>143</v>
      </c>
      <c r="I11" s="75" t="s">
        <v>164</v>
      </c>
      <c r="J11" s="76" t="s">
        <v>176</v>
      </c>
      <c r="K11" s="76" t="s">
        <v>183</v>
      </c>
      <c r="L11" s="76" t="s">
        <v>211</v>
      </c>
      <c r="M11" s="76" t="s">
        <v>214</v>
      </c>
      <c r="N11" s="98"/>
    </row>
    <row r="12" spans="1:15" s="3" customFormat="1" ht="13.5" customHeight="1" x14ac:dyDescent="0.2">
      <c r="A12" s="38"/>
      <c r="B12" s="49">
        <f t="shared" si="0"/>
        <v>3</v>
      </c>
      <c r="C12" s="61">
        <v>1</v>
      </c>
      <c r="D12" s="56" t="s">
        <v>36</v>
      </c>
      <c r="E12" s="56" t="s">
        <v>70</v>
      </c>
      <c r="F12" s="56" t="s">
        <v>86</v>
      </c>
      <c r="G12" s="57" t="s">
        <v>119</v>
      </c>
      <c r="H12" s="57" t="s">
        <v>144</v>
      </c>
      <c r="I12" s="57" t="s">
        <v>165</v>
      </c>
      <c r="J12" s="88" t="s">
        <v>176</v>
      </c>
      <c r="K12" s="58" t="s">
        <v>184</v>
      </c>
      <c r="L12" s="58"/>
      <c r="M12" s="58"/>
      <c r="N12" s="97" t="s">
        <v>235</v>
      </c>
    </row>
    <row r="13" spans="1:15" s="3" customFormat="1" ht="13.5" customHeight="1" x14ac:dyDescent="0.2">
      <c r="A13" s="38"/>
      <c r="B13" s="50">
        <f t="shared" si="0"/>
        <v>4</v>
      </c>
      <c r="C13" s="62">
        <v>2</v>
      </c>
      <c r="D13" s="59" t="s">
        <v>37</v>
      </c>
      <c r="E13" s="59" t="s">
        <v>71</v>
      </c>
      <c r="F13" s="59" t="s">
        <v>87</v>
      </c>
      <c r="G13" s="59" t="s">
        <v>119</v>
      </c>
      <c r="H13" s="59" t="s">
        <v>145</v>
      </c>
      <c r="I13" s="59" t="s">
        <v>166</v>
      </c>
      <c r="J13" s="89" t="s">
        <v>176</v>
      </c>
      <c r="K13" s="60" t="s">
        <v>185</v>
      </c>
      <c r="L13" s="60"/>
      <c r="M13" s="60"/>
      <c r="N13" s="99" t="s">
        <v>236</v>
      </c>
    </row>
    <row r="14" spans="1:15" s="77" customFormat="1" ht="13.5" customHeight="1" x14ac:dyDescent="0.2">
      <c r="A14" s="72"/>
      <c r="B14" s="78">
        <f t="shared" si="0"/>
        <v>5</v>
      </c>
      <c r="C14" s="79">
        <v>1</v>
      </c>
      <c r="D14" s="80" t="s">
        <v>38</v>
      </c>
      <c r="E14" s="80" t="s">
        <v>72</v>
      </c>
      <c r="F14" s="80" t="s">
        <v>88</v>
      </c>
      <c r="G14" s="81" t="s">
        <v>120</v>
      </c>
      <c r="H14" s="81" t="s">
        <v>146</v>
      </c>
      <c r="I14" s="81" t="s">
        <v>164</v>
      </c>
      <c r="J14" s="82" t="s">
        <v>176</v>
      </c>
      <c r="K14" s="82" t="s">
        <v>186</v>
      </c>
      <c r="L14" s="82"/>
      <c r="M14" s="82"/>
      <c r="N14" s="100"/>
    </row>
    <row r="15" spans="1:15" s="3" customFormat="1" ht="13.5" customHeight="1" x14ac:dyDescent="0.2">
      <c r="A15" s="83"/>
      <c r="B15" s="84">
        <f t="shared" si="0"/>
        <v>6</v>
      </c>
      <c r="C15" s="85">
        <v>1</v>
      </c>
      <c r="D15" s="86" t="s">
        <v>39</v>
      </c>
      <c r="E15" s="86" t="s">
        <v>69</v>
      </c>
      <c r="F15" s="86" t="s">
        <v>89</v>
      </c>
      <c r="G15" s="86" t="s">
        <v>118</v>
      </c>
      <c r="H15" s="86" t="s">
        <v>147</v>
      </c>
      <c r="I15" s="86" t="s">
        <v>163</v>
      </c>
      <c r="J15" s="90" t="s">
        <v>176</v>
      </c>
      <c r="K15" s="87" t="s">
        <v>187</v>
      </c>
      <c r="L15" s="87"/>
      <c r="M15" s="87"/>
      <c r="N15" s="101"/>
    </row>
    <row r="16" spans="1:15" s="77" customFormat="1" ht="13.5" customHeight="1" x14ac:dyDescent="0.2">
      <c r="A16" s="72"/>
      <c r="B16" s="78">
        <f t="shared" si="0"/>
        <v>7</v>
      </c>
      <c r="C16" s="79">
        <v>4</v>
      </c>
      <c r="D16" s="80" t="s">
        <v>40</v>
      </c>
      <c r="E16" s="80" t="s">
        <v>70</v>
      </c>
      <c r="F16" s="80" t="s">
        <v>90</v>
      </c>
      <c r="G16" s="81" t="s">
        <v>121</v>
      </c>
      <c r="H16" s="81" t="s">
        <v>148</v>
      </c>
      <c r="I16" s="81" t="s">
        <v>164</v>
      </c>
      <c r="J16" s="82" t="s">
        <v>176</v>
      </c>
      <c r="K16" s="82" t="s">
        <v>188</v>
      </c>
      <c r="L16" s="82"/>
      <c r="M16" s="82"/>
      <c r="N16" s="100"/>
    </row>
    <row r="17" spans="1:14" s="77" customFormat="1" ht="13.5" customHeight="1" x14ac:dyDescent="0.2">
      <c r="A17" s="72"/>
      <c r="B17" s="73">
        <f t="shared" si="0"/>
        <v>8</v>
      </c>
      <c r="C17" s="74">
        <v>4</v>
      </c>
      <c r="D17" s="75" t="s">
        <v>41</v>
      </c>
      <c r="E17" s="75" t="s">
        <v>68</v>
      </c>
      <c r="F17" s="75" t="s">
        <v>91</v>
      </c>
      <c r="G17" s="75" t="s">
        <v>122</v>
      </c>
      <c r="H17" s="75" t="s">
        <v>149</v>
      </c>
      <c r="I17" s="75" t="s">
        <v>164</v>
      </c>
      <c r="J17" s="76" t="s">
        <v>176</v>
      </c>
      <c r="K17" s="76" t="s">
        <v>189</v>
      </c>
      <c r="L17" s="76"/>
      <c r="M17" s="76"/>
      <c r="N17" s="98"/>
    </row>
    <row r="18" spans="1:14" s="3" customFormat="1" ht="13.5" customHeight="1" x14ac:dyDescent="0.2">
      <c r="A18" s="38"/>
      <c r="B18" s="49">
        <f t="shared" si="0"/>
        <v>9</v>
      </c>
      <c r="C18" s="61">
        <v>2</v>
      </c>
      <c r="D18" s="56" t="s">
        <v>42</v>
      </c>
      <c r="E18" s="56" t="s">
        <v>70</v>
      </c>
      <c r="F18" s="56" t="s">
        <v>92</v>
      </c>
      <c r="G18" s="57"/>
      <c r="H18" s="57" t="s">
        <v>150</v>
      </c>
      <c r="I18" s="57" t="s">
        <v>164</v>
      </c>
      <c r="J18" s="91" t="s">
        <v>176</v>
      </c>
      <c r="K18" s="58" t="s">
        <v>190</v>
      </c>
      <c r="L18" s="58" t="s">
        <v>178</v>
      </c>
      <c r="M18" s="58" t="s">
        <v>215</v>
      </c>
      <c r="N18" s="97"/>
    </row>
    <row r="19" spans="1:14" s="3" customFormat="1" ht="13.5" customHeight="1" x14ac:dyDescent="0.2">
      <c r="A19" s="38"/>
      <c r="B19" s="50">
        <f t="shared" si="0"/>
        <v>10</v>
      </c>
      <c r="C19" s="62">
        <v>2</v>
      </c>
      <c r="D19" s="59" t="s">
        <v>43</v>
      </c>
      <c r="E19" s="59" t="s">
        <v>73</v>
      </c>
      <c r="F19" s="59" t="s">
        <v>93</v>
      </c>
      <c r="G19" s="59" t="s">
        <v>123</v>
      </c>
      <c r="H19" s="59" t="s">
        <v>151</v>
      </c>
      <c r="I19" s="59" t="s">
        <v>167</v>
      </c>
      <c r="J19" s="92" t="s">
        <v>176</v>
      </c>
      <c r="K19" s="60" t="s">
        <v>191</v>
      </c>
      <c r="L19" s="60"/>
      <c r="M19" s="60"/>
      <c r="N19" s="99"/>
    </row>
    <row r="20" spans="1:14" s="3" customFormat="1" ht="13.5" customHeight="1" x14ac:dyDescent="0.2">
      <c r="A20" s="38"/>
      <c r="B20" s="49">
        <f t="shared" si="0"/>
        <v>11</v>
      </c>
      <c r="C20" s="61">
        <v>1</v>
      </c>
      <c r="D20" s="56" t="s">
        <v>44</v>
      </c>
      <c r="E20" s="56" t="s">
        <v>74</v>
      </c>
      <c r="F20" s="56" t="s">
        <v>94</v>
      </c>
      <c r="G20" s="57" t="s">
        <v>124</v>
      </c>
      <c r="H20" s="57" t="s">
        <v>152</v>
      </c>
      <c r="I20" s="57" t="s">
        <v>168</v>
      </c>
      <c r="J20" s="58" t="s">
        <v>177</v>
      </c>
      <c r="K20" s="58" t="s">
        <v>192</v>
      </c>
      <c r="L20" s="91" t="s">
        <v>176</v>
      </c>
      <c r="M20" s="58"/>
      <c r="N20" s="97"/>
    </row>
    <row r="21" spans="1:14" s="3" customFormat="1" ht="13.5" customHeight="1" x14ac:dyDescent="0.2">
      <c r="A21" s="38"/>
      <c r="B21" s="50">
        <f t="shared" si="0"/>
        <v>12</v>
      </c>
      <c r="C21" s="62">
        <v>1</v>
      </c>
      <c r="D21" s="59" t="s">
        <v>45</v>
      </c>
      <c r="E21" s="59" t="s">
        <v>75</v>
      </c>
      <c r="F21" s="59" t="s">
        <v>95</v>
      </c>
      <c r="G21" s="59"/>
      <c r="H21" s="59" t="s">
        <v>153</v>
      </c>
      <c r="I21" s="59" t="s">
        <v>169</v>
      </c>
      <c r="J21" s="60" t="s">
        <v>178</v>
      </c>
      <c r="K21" s="60" t="s">
        <v>193</v>
      </c>
      <c r="L21" s="92" t="s">
        <v>176</v>
      </c>
      <c r="M21" s="60"/>
      <c r="N21" s="99"/>
    </row>
    <row r="22" spans="1:14" s="3" customFormat="1" ht="13.5" customHeight="1" x14ac:dyDescent="0.2">
      <c r="A22" s="38"/>
      <c r="B22" s="49">
        <f t="shared" si="0"/>
        <v>13</v>
      </c>
      <c r="C22" s="61">
        <v>4</v>
      </c>
      <c r="D22" s="56" t="s">
        <v>46</v>
      </c>
      <c r="E22" s="56" t="s">
        <v>76</v>
      </c>
      <c r="F22" s="56" t="s">
        <v>96</v>
      </c>
      <c r="G22" s="57"/>
      <c r="H22" s="57" t="s">
        <v>154</v>
      </c>
      <c r="I22" s="57" t="s">
        <v>170</v>
      </c>
      <c r="J22" s="58" t="s">
        <v>76</v>
      </c>
      <c r="K22" s="58" t="s">
        <v>96</v>
      </c>
      <c r="L22" s="91" t="s">
        <v>176</v>
      </c>
      <c r="M22" s="58"/>
      <c r="N22" s="97"/>
    </row>
    <row r="23" spans="1:14" s="3" customFormat="1" ht="13.5" customHeight="1" x14ac:dyDescent="0.2">
      <c r="A23" s="38"/>
      <c r="B23" s="50">
        <f t="shared" si="0"/>
        <v>14</v>
      </c>
      <c r="C23" s="62">
        <v>1</v>
      </c>
      <c r="D23" s="59" t="s">
        <v>47</v>
      </c>
      <c r="E23" s="59" t="s">
        <v>77</v>
      </c>
      <c r="F23" s="59" t="s">
        <v>97</v>
      </c>
      <c r="G23" s="59" t="s">
        <v>125</v>
      </c>
      <c r="H23" s="59" t="s">
        <v>155</v>
      </c>
      <c r="I23" s="59" t="s">
        <v>171</v>
      </c>
      <c r="J23" s="92" t="s">
        <v>177</v>
      </c>
      <c r="K23" s="60" t="s">
        <v>194</v>
      </c>
      <c r="L23" s="89" t="s">
        <v>176</v>
      </c>
      <c r="M23" s="60" t="s">
        <v>227</v>
      </c>
      <c r="N23" s="99"/>
    </row>
    <row r="24" spans="1:14" s="77" customFormat="1" ht="13.5" customHeight="1" x14ac:dyDescent="0.2">
      <c r="A24" s="72"/>
      <c r="B24" s="78">
        <f t="shared" si="0"/>
        <v>15</v>
      </c>
      <c r="C24" s="79">
        <v>1</v>
      </c>
      <c r="D24" s="80" t="s">
        <v>48</v>
      </c>
      <c r="E24" s="80" t="s">
        <v>78</v>
      </c>
      <c r="F24" s="80" t="s">
        <v>98</v>
      </c>
      <c r="G24" s="81" t="s">
        <v>126</v>
      </c>
      <c r="H24" s="81" t="s">
        <v>156</v>
      </c>
      <c r="I24" s="81" t="s">
        <v>164</v>
      </c>
      <c r="J24" s="82" t="s">
        <v>176</v>
      </c>
      <c r="K24" s="82" t="s">
        <v>195</v>
      </c>
      <c r="L24" s="82"/>
      <c r="M24" s="82"/>
      <c r="N24" s="100"/>
    </row>
    <row r="25" spans="1:14" s="77" customFormat="1" ht="13.5" customHeight="1" x14ac:dyDescent="0.2">
      <c r="A25" s="72"/>
      <c r="B25" s="73">
        <f t="shared" si="0"/>
        <v>16</v>
      </c>
      <c r="C25" s="74">
        <v>12</v>
      </c>
      <c r="D25" s="75" t="s">
        <v>49</v>
      </c>
      <c r="E25" s="75" t="s">
        <v>78</v>
      </c>
      <c r="F25" s="75" t="s">
        <v>99</v>
      </c>
      <c r="G25" s="75" t="s">
        <v>127</v>
      </c>
      <c r="H25" s="75" t="s">
        <v>156</v>
      </c>
      <c r="I25" s="75" t="s">
        <v>164</v>
      </c>
      <c r="J25" s="76" t="s">
        <v>176</v>
      </c>
      <c r="K25" s="76" t="s">
        <v>196</v>
      </c>
      <c r="L25" s="76"/>
      <c r="M25" s="76"/>
      <c r="N25" s="98"/>
    </row>
    <row r="26" spans="1:14" s="77" customFormat="1" ht="13.5" customHeight="1" x14ac:dyDescent="0.2">
      <c r="A26" s="72"/>
      <c r="B26" s="78">
        <f t="shared" si="0"/>
        <v>17</v>
      </c>
      <c r="C26" s="79">
        <v>8</v>
      </c>
      <c r="D26" s="80" t="s">
        <v>50</v>
      </c>
      <c r="E26" s="80" t="s">
        <v>78</v>
      </c>
      <c r="F26" s="80" t="s">
        <v>100</v>
      </c>
      <c r="G26" s="81" t="s">
        <v>128</v>
      </c>
      <c r="H26" s="81" t="s">
        <v>156</v>
      </c>
      <c r="I26" s="81" t="s">
        <v>164</v>
      </c>
      <c r="J26" s="82" t="s">
        <v>176</v>
      </c>
      <c r="K26" s="82" t="s">
        <v>197</v>
      </c>
      <c r="L26" s="82"/>
      <c r="M26" s="82"/>
      <c r="N26" s="100"/>
    </row>
    <row r="27" spans="1:14" s="77" customFormat="1" ht="13.5" customHeight="1" x14ac:dyDescent="0.2">
      <c r="A27" s="72"/>
      <c r="B27" s="73">
        <f t="shared" si="0"/>
        <v>18</v>
      </c>
      <c r="C27" s="74">
        <v>8</v>
      </c>
      <c r="D27" s="75" t="s">
        <v>51</v>
      </c>
      <c r="E27" s="75" t="s">
        <v>78</v>
      </c>
      <c r="F27" s="75" t="s">
        <v>101</v>
      </c>
      <c r="G27" s="75" t="s">
        <v>129</v>
      </c>
      <c r="H27" s="75" t="s">
        <v>156</v>
      </c>
      <c r="I27" s="75" t="s">
        <v>164</v>
      </c>
      <c r="J27" s="76" t="s">
        <v>176</v>
      </c>
      <c r="K27" s="76" t="s">
        <v>198</v>
      </c>
      <c r="L27" s="76"/>
      <c r="M27" s="76"/>
      <c r="N27" s="98"/>
    </row>
    <row r="28" spans="1:14" s="77" customFormat="1" ht="13.5" customHeight="1" x14ac:dyDescent="0.2">
      <c r="A28" s="72"/>
      <c r="B28" s="78">
        <f t="shared" si="0"/>
        <v>19</v>
      </c>
      <c r="C28" s="79">
        <v>6</v>
      </c>
      <c r="D28" s="80" t="s">
        <v>52</v>
      </c>
      <c r="E28" s="80" t="s">
        <v>78</v>
      </c>
      <c r="F28" s="80" t="s">
        <v>102</v>
      </c>
      <c r="G28" s="81" t="s">
        <v>130</v>
      </c>
      <c r="H28" s="81" t="s">
        <v>156</v>
      </c>
      <c r="I28" s="81" t="s">
        <v>164</v>
      </c>
      <c r="J28" s="82" t="s">
        <v>176</v>
      </c>
      <c r="K28" s="82" t="s">
        <v>199</v>
      </c>
      <c r="L28" s="82"/>
      <c r="M28" s="82"/>
      <c r="N28" s="100"/>
    </row>
    <row r="29" spans="1:14" s="77" customFormat="1" ht="13.5" customHeight="1" x14ac:dyDescent="0.2">
      <c r="A29" s="72"/>
      <c r="B29" s="73">
        <f t="shared" si="0"/>
        <v>20</v>
      </c>
      <c r="C29" s="74">
        <v>2</v>
      </c>
      <c r="D29" s="75" t="s">
        <v>53</v>
      </c>
      <c r="E29" s="75" t="s">
        <v>78</v>
      </c>
      <c r="F29" s="75" t="s">
        <v>103</v>
      </c>
      <c r="G29" s="75" t="s">
        <v>131</v>
      </c>
      <c r="H29" s="75" t="s">
        <v>156</v>
      </c>
      <c r="I29" s="75" t="s">
        <v>164</v>
      </c>
      <c r="J29" s="76" t="s">
        <v>176</v>
      </c>
      <c r="K29" s="76" t="s">
        <v>200</v>
      </c>
      <c r="L29" s="76"/>
      <c r="M29" s="76"/>
      <c r="N29" s="98"/>
    </row>
    <row r="30" spans="1:14" s="77" customFormat="1" ht="13.5" customHeight="1" x14ac:dyDescent="0.2">
      <c r="A30" s="72"/>
      <c r="B30" s="78">
        <f t="shared" si="0"/>
        <v>21</v>
      </c>
      <c r="C30" s="79">
        <v>6</v>
      </c>
      <c r="D30" s="80" t="s">
        <v>54</v>
      </c>
      <c r="E30" s="80" t="s">
        <v>78</v>
      </c>
      <c r="F30" s="80" t="s">
        <v>104</v>
      </c>
      <c r="G30" s="81" t="s">
        <v>132</v>
      </c>
      <c r="H30" s="81" t="s">
        <v>156</v>
      </c>
      <c r="I30" s="81" t="s">
        <v>164</v>
      </c>
      <c r="J30" s="82" t="s">
        <v>176</v>
      </c>
      <c r="K30" s="82" t="s">
        <v>201</v>
      </c>
      <c r="L30" s="82"/>
      <c r="M30" s="82"/>
      <c r="N30" s="100"/>
    </row>
    <row r="31" spans="1:14" s="77" customFormat="1" ht="13.5" customHeight="1" x14ac:dyDescent="0.2">
      <c r="A31" s="72"/>
      <c r="B31" s="73">
        <f t="shared" si="0"/>
        <v>22</v>
      </c>
      <c r="C31" s="74">
        <v>12</v>
      </c>
      <c r="D31" s="75" t="s">
        <v>55</v>
      </c>
      <c r="E31" s="75" t="s">
        <v>78</v>
      </c>
      <c r="F31" s="75" t="s">
        <v>105</v>
      </c>
      <c r="G31" s="75" t="s">
        <v>133</v>
      </c>
      <c r="H31" s="75" t="s">
        <v>156</v>
      </c>
      <c r="I31" s="75" t="s">
        <v>164</v>
      </c>
      <c r="J31" s="76" t="s">
        <v>176</v>
      </c>
      <c r="K31" s="76" t="s">
        <v>202</v>
      </c>
      <c r="L31" s="76"/>
      <c r="M31" s="76"/>
      <c r="N31" s="98"/>
    </row>
    <row r="32" spans="1:14" s="77" customFormat="1" ht="13.5" customHeight="1" x14ac:dyDescent="0.2">
      <c r="A32" s="72"/>
      <c r="B32" s="78">
        <f t="shared" si="0"/>
        <v>23</v>
      </c>
      <c r="C32" s="79">
        <v>2</v>
      </c>
      <c r="D32" s="80" t="s">
        <v>56</v>
      </c>
      <c r="E32" s="80" t="s">
        <v>78</v>
      </c>
      <c r="F32" s="80" t="s">
        <v>106</v>
      </c>
      <c r="G32" s="81" t="s">
        <v>134</v>
      </c>
      <c r="H32" s="81" t="s">
        <v>156</v>
      </c>
      <c r="I32" s="81" t="s">
        <v>164</v>
      </c>
      <c r="J32" s="82" t="s">
        <v>176</v>
      </c>
      <c r="K32" s="82" t="s">
        <v>203</v>
      </c>
      <c r="L32" s="82"/>
      <c r="M32" s="82"/>
      <c r="N32" s="100"/>
    </row>
    <row r="33" spans="1:14" s="77" customFormat="1" ht="13.5" customHeight="1" x14ac:dyDescent="0.2">
      <c r="A33" s="72"/>
      <c r="B33" s="73">
        <f t="shared" si="0"/>
        <v>24</v>
      </c>
      <c r="C33" s="74">
        <v>2</v>
      </c>
      <c r="D33" s="75" t="s">
        <v>57</v>
      </c>
      <c r="E33" s="75" t="s">
        <v>78</v>
      </c>
      <c r="F33" s="75" t="s">
        <v>107</v>
      </c>
      <c r="G33" s="75" t="s">
        <v>135</v>
      </c>
      <c r="H33" s="75" t="s">
        <v>156</v>
      </c>
      <c r="I33" s="75" t="s">
        <v>164</v>
      </c>
      <c r="J33" s="76" t="s">
        <v>176</v>
      </c>
      <c r="K33" s="76" t="s">
        <v>204</v>
      </c>
      <c r="L33" s="76"/>
      <c r="M33" s="76"/>
      <c r="N33" s="98"/>
    </row>
    <row r="34" spans="1:14" s="77" customFormat="1" ht="13.5" customHeight="1" x14ac:dyDescent="0.2">
      <c r="A34" s="72"/>
      <c r="B34" s="78">
        <f t="shared" si="0"/>
        <v>25</v>
      </c>
      <c r="C34" s="79">
        <v>1</v>
      </c>
      <c r="D34" s="80" t="s">
        <v>58</v>
      </c>
      <c r="E34" s="80" t="s">
        <v>78</v>
      </c>
      <c r="F34" s="80" t="s">
        <v>108</v>
      </c>
      <c r="G34" s="81" t="s">
        <v>136</v>
      </c>
      <c r="H34" s="81" t="s">
        <v>156</v>
      </c>
      <c r="I34" s="81" t="s">
        <v>164</v>
      </c>
      <c r="J34" s="82" t="s">
        <v>176</v>
      </c>
      <c r="K34" s="82" t="s">
        <v>205</v>
      </c>
      <c r="L34" s="82"/>
      <c r="M34" s="82"/>
      <c r="N34" s="100"/>
    </row>
    <row r="35" spans="1:14" s="3" customFormat="1" ht="13.5" customHeight="1" x14ac:dyDescent="0.2">
      <c r="A35" s="38"/>
      <c r="B35" s="50">
        <f t="shared" si="0"/>
        <v>26</v>
      </c>
      <c r="C35" s="62">
        <v>8</v>
      </c>
      <c r="D35" s="59" t="s">
        <v>59</v>
      </c>
      <c r="E35" s="59" t="s">
        <v>79</v>
      </c>
      <c r="F35" s="59" t="s">
        <v>79</v>
      </c>
      <c r="G35" s="59" t="s">
        <v>137</v>
      </c>
      <c r="H35" s="59" t="s">
        <v>156</v>
      </c>
      <c r="I35" s="59" t="s">
        <v>164</v>
      </c>
      <c r="J35" s="60" t="s">
        <v>79</v>
      </c>
      <c r="K35" s="60" t="s">
        <v>79</v>
      </c>
      <c r="L35" s="60"/>
      <c r="M35" s="60"/>
      <c r="N35" s="99"/>
    </row>
    <row r="36" spans="1:14" s="77" customFormat="1" ht="13.5" customHeight="1" x14ac:dyDescent="0.2">
      <c r="A36" s="72"/>
      <c r="B36" s="78">
        <f t="shared" si="0"/>
        <v>27</v>
      </c>
      <c r="C36" s="79">
        <v>16</v>
      </c>
      <c r="D36" s="80" t="s">
        <v>60</v>
      </c>
      <c r="E36" s="80" t="s">
        <v>78</v>
      </c>
      <c r="F36" s="80" t="s">
        <v>109</v>
      </c>
      <c r="G36" s="81" t="s">
        <v>138</v>
      </c>
      <c r="H36" s="81" t="s">
        <v>156</v>
      </c>
      <c r="I36" s="81" t="s">
        <v>164</v>
      </c>
      <c r="J36" s="82" t="s">
        <v>176</v>
      </c>
      <c r="K36" s="82" t="s">
        <v>206</v>
      </c>
      <c r="L36" s="82" t="s">
        <v>212</v>
      </c>
      <c r="M36" s="82" t="s">
        <v>216</v>
      </c>
      <c r="N36" s="100"/>
    </row>
    <row r="37" spans="1:14" s="77" customFormat="1" ht="13.5" customHeight="1" x14ac:dyDescent="0.2">
      <c r="A37" s="72"/>
      <c r="B37" s="73">
        <f t="shared" si="0"/>
        <v>28</v>
      </c>
      <c r="C37" s="74">
        <v>1</v>
      </c>
      <c r="D37" s="75" t="s">
        <v>61</v>
      </c>
      <c r="E37" s="75" t="s">
        <v>78</v>
      </c>
      <c r="F37" s="75" t="s">
        <v>110</v>
      </c>
      <c r="G37" s="75" t="s">
        <v>139</v>
      </c>
      <c r="H37" s="75" t="s">
        <v>156</v>
      </c>
      <c r="I37" s="75" t="s">
        <v>164</v>
      </c>
      <c r="J37" s="76" t="s">
        <v>176</v>
      </c>
      <c r="K37" s="76" t="s">
        <v>207</v>
      </c>
      <c r="L37" s="76"/>
      <c r="M37" s="76"/>
      <c r="N37" s="98"/>
    </row>
    <row r="38" spans="1:14" s="3" customFormat="1" ht="13.5" customHeight="1" x14ac:dyDescent="0.2">
      <c r="A38" s="38"/>
      <c r="B38" s="49">
        <f t="shared" si="0"/>
        <v>29</v>
      </c>
      <c r="C38" s="61">
        <v>1</v>
      </c>
      <c r="D38" s="56" t="s">
        <v>62</v>
      </c>
      <c r="E38" s="56" t="s">
        <v>70</v>
      </c>
      <c r="F38" s="56" t="s">
        <v>111</v>
      </c>
      <c r="G38" s="57" t="s">
        <v>140</v>
      </c>
      <c r="H38" s="57" t="s">
        <v>157</v>
      </c>
      <c r="I38" s="57" t="s">
        <v>172</v>
      </c>
      <c r="J38" s="93" t="s">
        <v>176</v>
      </c>
      <c r="K38" s="58" t="s">
        <v>208</v>
      </c>
      <c r="L38" s="58"/>
      <c r="M38" s="58"/>
      <c r="N38" s="97"/>
    </row>
    <row r="39" spans="1:14" s="3" customFormat="1" ht="13.5" customHeight="1" x14ac:dyDescent="0.2">
      <c r="A39" s="38"/>
      <c r="B39" s="94">
        <v>30</v>
      </c>
      <c r="C39" s="95" t="s">
        <v>227</v>
      </c>
      <c r="D39" s="59" t="s">
        <v>225</v>
      </c>
      <c r="E39" s="59" t="s">
        <v>80</v>
      </c>
      <c r="F39" s="59" t="s">
        <v>230</v>
      </c>
      <c r="G39" s="59"/>
      <c r="H39" s="59" t="s">
        <v>231</v>
      </c>
      <c r="I39" s="59" t="s">
        <v>173</v>
      </c>
      <c r="J39" s="60" t="s">
        <v>179</v>
      </c>
      <c r="K39" s="60" t="s">
        <v>209</v>
      </c>
      <c r="L39" s="89" t="s">
        <v>176</v>
      </c>
      <c r="M39" s="60" t="s">
        <v>217</v>
      </c>
      <c r="N39" s="97" t="s">
        <v>237</v>
      </c>
    </row>
    <row r="40" spans="1:14" s="3" customFormat="1" ht="13.5" customHeight="1" x14ac:dyDescent="0.2">
      <c r="A40" s="38"/>
      <c r="B40" s="50">
        <f t="shared" si="0"/>
        <v>31</v>
      </c>
      <c r="C40" s="62" t="s">
        <v>227</v>
      </c>
      <c r="D40" s="59" t="s">
        <v>224</v>
      </c>
      <c r="E40" s="59" t="s">
        <v>80</v>
      </c>
      <c r="F40" s="59" t="s">
        <v>226</v>
      </c>
      <c r="G40" s="59"/>
      <c r="H40" s="59" t="s">
        <v>228</v>
      </c>
      <c r="I40" s="59" t="s">
        <v>173</v>
      </c>
      <c r="J40" s="60" t="s">
        <v>179</v>
      </c>
      <c r="K40" s="60" t="s">
        <v>229</v>
      </c>
      <c r="L40" s="96" t="s">
        <v>176</v>
      </c>
      <c r="M40" s="60" t="s">
        <v>217</v>
      </c>
      <c r="N40" s="99"/>
    </row>
    <row r="41" spans="1:14" s="3" customFormat="1" ht="13.5" customHeight="1" x14ac:dyDescent="0.2">
      <c r="A41" s="38"/>
      <c r="B41" s="49">
        <f t="shared" si="0"/>
        <v>32</v>
      </c>
      <c r="C41" s="61">
        <v>3</v>
      </c>
      <c r="D41" s="56" t="s">
        <v>63</v>
      </c>
      <c r="E41" s="56" t="s">
        <v>76</v>
      </c>
      <c r="F41" s="56" t="s">
        <v>112</v>
      </c>
      <c r="G41" s="57"/>
      <c r="H41" s="57" t="s">
        <v>158</v>
      </c>
      <c r="I41" s="57" t="s">
        <v>170</v>
      </c>
      <c r="J41" s="58" t="s">
        <v>76</v>
      </c>
      <c r="K41" s="58" t="s">
        <v>112</v>
      </c>
      <c r="L41" s="93" t="s">
        <v>176</v>
      </c>
      <c r="M41" s="58" t="s">
        <v>232</v>
      </c>
      <c r="N41" s="97"/>
    </row>
    <row r="42" spans="1:14" s="3" customFormat="1" ht="13.5" customHeight="1" x14ac:dyDescent="0.2">
      <c r="A42" s="38"/>
      <c r="B42" s="50">
        <f t="shared" si="0"/>
        <v>33</v>
      </c>
      <c r="C42" s="62">
        <v>1</v>
      </c>
      <c r="D42" s="59" t="s">
        <v>64</v>
      </c>
      <c r="E42" s="59" t="s">
        <v>76</v>
      </c>
      <c r="F42" s="59" t="s">
        <v>113</v>
      </c>
      <c r="G42" s="59"/>
      <c r="H42" s="59" t="s">
        <v>159</v>
      </c>
      <c r="I42" s="59" t="s">
        <v>170</v>
      </c>
      <c r="J42" s="60" t="s">
        <v>76</v>
      </c>
      <c r="K42" s="60" t="s">
        <v>113</v>
      </c>
      <c r="L42" s="96" t="s">
        <v>176</v>
      </c>
      <c r="M42" s="60" t="s">
        <v>232</v>
      </c>
      <c r="N42" s="99"/>
    </row>
    <row r="43" spans="1:14" s="3" customFormat="1" ht="13.5" customHeight="1" x14ac:dyDescent="0.2">
      <c r="A43" s="38"/>
      <c r="B43" s="49">
        <f t="shared" si="0"/>
        <v>34</v>
      </c>
      <c r="C43" s="61">
        <v>1</v>
      </c>
      <c r="D43" s="56" t="s">
        <v>65</v>
      </c>
      <c r="E43" s="56" t="s">
        <v>81</v>
      </c>
      <c r="F43" s="56" t="s">
        <v>114</v>
      </c>
      <c r="G43" s="57"/>
      <c r="H43" s="57" t="s">
        <v>160</v>
      </c>
      <c r="I43" s="57" t="s">
        <v>170</v>
      </c>
      <c r="J43" s="58" t="s">
        <v>81</v>
      </c>
      <c r="K43" s="58" t="s">
        <v>114</v>
      </c>
      <c r="L43" s="93" t="s">
        <v>176</v>
      </c>
      <c r="M43" s="58" t="s">
        <v>233</v>
      </c>
      <c r="N43" s="97"/>
    </row>
    <row r="44" spans="1:14" s="3" customFormat="1" ht="13.5" customHeight="1" x14ac:dyDescent="0.2">
      <c r="A44" s="38"/>
      <c r="B44" s="50">
        <f t="shared" si="0"/>
        <v>35</v>
      </c>
      <c r="C44" s="62">
        <v>2</v>
      </c>
      <c r="D44" s="59" t="s">
        <v>66</v>
      </c>
      <c r="E44" s="59" t="s">
        <v>82</v>
      </c>
      <c r="F44" s="59" t="s">
        <v>115</v>
      </c>
      <c r="G44" s="59"/>
      <c r="H44" s="59" t="s">
        <v>161</v>
      </c>
      <c r="I44" s="59" t="s">
        <v>174</v>
      </c>
      <c r="J44" s="60" t="s">
        <v>180</v>
      </c>
      <c r="K44" s="60" t="s">
        <v>115</v>
      </c>
      <c r="L44" s="96" t="s">
        <v>176</v>
      </c>
      <c r="M44" s="60" t="s">
        <v>232</v>
      </c>
      <c r="N44" s="99"/>
    </row>
    <row r="45" spans="1:14" x14ac:dyDescent="0.2">
      <c r="A45" s="38"/>
      <c r="B45" s="55" t="s">
        <v>23</v>
      </c>
      <c r="C45" s="68" t="s">
        <v>31</v>
      </c>
      <c r="D45" s="52"/>
      <c r="E45" s="36"/>
      <c r="F45" s="35"/>
      <c r="G45" s="34"/>
      <c r="H45" s="5" t="s">
        <v>19</v>
      </c>
      <c r="J45" s="54"/>
      <c r="K45" s="54"/>
      <c r="L45" s="54"/>
      <c r="M45" s="54"/>
      <c r="N45" s="53"/>
    </row>
    <row r="46" spans="1:14" x14ac:dyDescent="0.2">
      <c r="A46" s="38"/>
      <c r="B46" s="8"/>
      <c r="C46" s="8"/>
      <c r="D46" s="8"/>
      <c r="E46" s="8"/>
      <c r="F46" s="7"/>
      <c r="G46" s="9"/>
      <c r="H46" s="6"/>
      <c r="I46" s="6"/>
      <c r="J46" s="7"/>
      <c r="K46" s="7"/>
      <c r="L46" s="7"/>
      <c r="M46" s="7"/>
      <c r="N46" s="14"/>
    </row>
    <row r="47" spans="1:14" x14ac:dyDescent="0.2">
      <c r="A47" s="38"/>
      <c r="B47" s="8"/>
      <c r="C47" s="8"/>
      <c r="D47" s="8"/>
      <c r="E47" s="8"/>
      <c r="F47" s="8"/>
      <c r="G47" s="10"/>
      <c r="H47" s="7"/>
      <c r="I47" s="7"/>
      <c r="J47" s="7"/>
      <c r="K47" s="7"/>
      <c r="L47" s="7"/>
      <c r="M47" s="7"/>
      <c r="N47" s="15"/>
    </row>
    <row r="48" spans="1:14" x14ac:dyDescent="0.2">
      <c r="A48" s="38"/>
      <c r="B48" s="8"/>
      <c r="C48" s="8"/>
      <c r="D48" s="8"/>
      <c r="E48" s="8"/>
      <c r="F48" s="8"/>
      <c r="G48" s="10"/>
      <c r="H48" s="7"/>
      <c r="I48" s="7" t="s">
        <v>21</v>
      </c>
      <c r="J48" s="7"/>
      <c r="K48" s="7"/>
      <c r="L48" s="7"/>
      <c r="M48" s="7"/>
      <c r="N48" s="15"/>
    </row>
    <row r="49" spans="1:14" ht="13.5" thickBot="1" x14ac:dyDescent="0.25">
      <c r="A49" s="38"/>
      <c r="B49" s="33"/>
      <c r="C49" s="13"/>
      <c r="D49" s="13"/>
      <c r="E49" s="13"/>
      <c r="F49" s="13"/>
      <c r="G49" s="11"/>
      <c r="H49" s="12"/>
      <c r="I49" s="12"/>
      <c r="J49" s="12"/>
      <c r="K49" s="12"/>
      <c r="L49" s="12"/>
      <c r="M49" s="12"/>
      <c r="N49" s="16"/>
    </row>
    <row r="51" spans="1:14" x14ac:dyDescent="0.2">
      <c r="D51" s="1"/>
      <c r="E51" s="1"/>
      <c r="F51" s="1"/>
      <c r="G51" s="1"/>
    </row>
    <row r="52" spans="1:14" x14ac:dyDescent="0.2">
      <c r="D52" s="1"/>
      <c r="E52" s="1"/>
      <c r="F52" s="1"/>
      <c r="G52" s="1"/>
    </row>
    <row r="53" spans="1:14" x14ac:dyDescent="0.2">
      <c r="D53" s="1"/>
      <c r="E53" s="1"/>
      <c r="F53" s="1"/>
      <c r="G53" s="1"/>
    </row>
  </sheetData>
  <phoneticPr fontId="0" type="noConversion"/>
  <pageMargins left="0.46" right="0.36" top="0.57999999999999996" bottom="0.984251969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baseColWidth="10" defaultColWidth="9.140625"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32" t="s">
        <v>0</v>
      </c>
      <c r="B1" s="69" t="s">
        <v>218</v>
      </c>
    </row>
    <row r="2" spans="1:2" x14ac:dyDescent="0.2">
      <c r="A2" s="31" t="s">
        <v>1</v>
      </c>
      <c r="B2" s="70" t="s">
        <v>27</v>
      </c>
    </row>
    <row r="3" spans="1:2" x14ac:dyDescent="0.2">
      <c r="A3" s="32" t="s">
        <v>2</v>
      </c>
      <c r="B3" s="71" t="s">
        <v>28</v>
      </c>
    </row>
    <row r="4" spans="1:2" x14ac:dyDescent="0.2">
      <c r="A4" s="31" t="s">
        <v>3</v>
      </c>
      <c r="B4" s="70" t="s">
        <v>26</v>
      </c>
    </row>
    <row r="5" spans="1:2" x14ac:dyDescent="0.2">
      <c r="A5" s="32" t="s">
        <v>4</v>
      </c>
      <c r="B5" s="71" t="s">
        <v>219</v>
      </c>
    </row>
    <row r="6" spans="1:2" x14ac:dyDescent="0.2">
      <c r="A6" s="31" t="s">
        <v>5</v>
      </c>
      <c r="B6" s="70" t="s">
        <v>25</v>
      </c>
    </row>
    <row r="7" spans="1:2" x14ac:dyDescent="0.2">
      <c r="A7" s="32" t="s">
        <v>6</v>
      </c>
      <c r="B7" s="71" t="s">
        <v>31</v>
      </c>
    </row>
    <row r="8" spans="1:2" x14ac:dyDescent="0.2">
      <c r="A8" s="31" t="s">
        <v>7</v>
      </c>
      <c r="B8" s="70" t="s">
        <v>30</v>
      </c>
    </row>
    <row r="9" spans="1:2" x14ac:dyDescent="0.2">
      <c r="A9" s="32" t="s">
        <v>8</v>
      </c>
      <c r="B9" s="71" t="s">
        <v>29</v>
      </c>
    </row>
    <row r="10" spans="1:2" x14ac:dyDescent="0.2">
      <c r="A10" s="31" t="s">
        <v>9</v>
      </c>
      <c r="B10" s="70" t="s">
        <v>220</v>
      </c>
    </row>
    <row r="11" spans="1:2" x14ac:dyDescent="0.2">
      <c r="A11" s="32" t="s">
        <v>10</v>
      </c>
      <c r="B11" s="71" t="s">
        <v>221</v>
      </c>
    </row>
    <row r="12" spans="1:2" x14ac:dyDescent="0.2">
      <c r="A12" s="31" t="s">
        <v>11</v>
      </c>
      <c r="B12" s="70" t="s">
        <v>222</v>
      </c>
    </row>
    <row r="13" spans="1:2" x14ac:dyDescent="0.2">
      <c r="A13" s="32" t="s">
        <v>12</v>
      </c>
      <c r="B13" s="71" t="s">
        <v>223</v>
      </c>
    </row>
    <row r="14" spans="1:2" x14ac:dyDescent="0.2">
      <c r="A14" s="31" t="s">
        <v>13</v>
      </c>
      <c r="B14" s="70" t="s">
        <v>221</v>
      </c>
    </row>
  </sheetData>
  <phoneticPr fontId="16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wilflingti66489</cp:lastModifiedBy>
  <cp:lastPrinted>2005-05-16T01:11:50Z</cp:lastPrinted>
  <dcterms:created xsi:type="dcterms:W3CDTF">2002-11-05T15:28:02Z</dcterms:created>
  <dcterms:modified xsi:type="dcterms:W3CDTF">2021-05-30T14:18:45Z</dcterms:modified>
</cp:coreProperties>
</file>