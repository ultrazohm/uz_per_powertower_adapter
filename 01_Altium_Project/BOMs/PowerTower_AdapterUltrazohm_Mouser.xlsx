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lflingti66489\Documents\powertower_adapter_uz\01_Altium_Project\BOMs\"/>
    </mc:Choice>
  </mc:AlternateContent>
  <xr:revisionPtr revIDLastSave="0" documentId="13_ncr:1_{78D2950E-F6EC-46E6-873D-F9EC99E1F2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3" l="1"/>
  <c r="B20" i="3"/>
  <c r="B19" i="3"/>
  <c r="B18" i="3"/>
  <c r="B17" i="3"/>
  <c r="B16" i="3"/>
  <c r="B15" i="3"/>
  <c r="B14" i="3"/>
  <c r="B13" i="3"/>
  <c r="B12" i="3"/>
  <c r="B11" i="3"/>
  <c r="B10" i="3" l="1"/>
  <c r="G8" i="3"/>
  <c r="H8" i="3"/>
</calcChain>
</file>

<file path=xl/sharedStrings.xml><?xml version="1.0" encoding="utf-8"?>
<sst xmlns="http://schemas.openxmlformats.org/spreadsheetml/2006/main" count="160" uniqueCount="135">
  <si>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</si>
  <si>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</si>
  <si>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</si>
  <si>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</si>
  <si>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</si>
  <si>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</si>
  <si>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</si>
  <si>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</si>
  <si>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</si>
  <si>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</si>
  <si>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</si>
  <si>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</si>
  <si>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</si>
  <si>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</si>
  <si>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</si>
  <si>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</si>
  <si>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</si>
  <si>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</si>
  <si>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</si>
  <si>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</si>
  <si>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</si>
  <si>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</si>
  <si>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</si>
  <si>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</si>
  <si>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Fabrication Notes</t>
  </si>
  <si>
    <t>Bill of Materials for PCB Document [PCB2.PcbDoc]</t>
  </si>
  <si>
    <t>PCB2.PcbDoc</t>
  </si>
  <si>
    <t>PowerTower_AdapterUltrazohm.PrjPcb</t>
  </si>
  <si>
    <t>None</t>
  </si>
  <si>
    <t>26.05.2021</t>
  </si>
  <si>
    <t>16:41</t>
  </si>
  <si>
    <t>131</t>
  </si>
  <si>
    <t>Quantity</t>
  </si>
  <si>
    <t>Designator</t>
  </si>
  <si>
    <t>C1</t>
  </si>
  <si>
    <t>C3</t>
  </si>
  <si>
    <t>C8, C9</t>
  </si>
  <si>
    <t>C14</t>
  </si>
  <si>
    <t>D2, D3</t>
  </si>
  <si>
    <t>F1, F2</t>
  </si>
  <si>
    <t>IC3</t>
  </si>
  <si>
    <t>J1</t>
  </si>
  <si>
    <t>U1</t>
  </si>
  <si>
    <t>X8</t>
  </si>
  <si>
    <t>X9, X10</t>
  </si>
  <si>
    <t>Manufacturer</t>
  </si>
  <si>
    <t>KEMET</t>
  </si>
  <si>
    <t>Wuerth Elektronik</t>
  </si>
  <si>
    <t>Panasonic</t>
  </si>
  <si>
    <t>Taiyo Yuden</t>
  </si>
  <si>
    <t>Littelfuse</t>
  </si>
  <si>
    <t>Analog Devices</t>
  </si>
  <si>
    <t>Amphenol</t>
  </si>
  <si>
    <t>Texas Instruments</t>
  </si>
  <si>
    <t>SAMTEC</t>
  </si>
  <si>
    <t>WURTH</t>
  </si>
  <si>
    <t>Manufacturer Part Number</t>
  </si>
  <si>
    <t>C0805C104J5RECTU</t>
  </si>
  <si>
    <t>150060GS84000, 150060RS86000</t>
  </si>
  <si>
    <t>0154001.DR</t>
  </si>
  <si>
    <t>AD8554ARZ</t>
  </si>
  <si>
    <t>RJHSE538002</t>
  </si>
  <si>
    <t>173010578</t>
  </si>
  <si>
    <t>IPL1-115-01-L-D-RA-K</t>
  </si>
  <si>
    <t>61300911121</t>
  </si>
  <si>
    <t>Value</t>
  </si>
  <si>
    <t>10 µF</t>
  </si>
  <si>
    <t>0.1 µF</t>
  </si>
  <si>
    <t>100 µF</t>
  </si>
  <si>
    <t>1 A</t>
  </si>
  <si>
    <t>Rail-to-Rail</t>
  </si>
  <si>
    <t>5 W</t>
  </si>
  <si>
    <t>Description</t>
  </si>
  <si>
    <t>Capacitor 0805, 25 VDC, 10 µF, X5R</t>
  </si>
  <si>
    <t>Capacitor WCAP, 6.3 VDC, 100 µF</t>
  </si>
  <si>
    <t>Capacitor EEE, 50 VDC, 100 µF</t>
  </si>
  <si>
    <t>Capacitor 0805, 50 VDC, 0.1 µF, X7R</t>
  </si>
  <si>
    <t>WL-SMCW SMD Mono-color Chip LED Waterclear Green, WL-SMCW SMD Mono-color Chip LED Waterclear Red</t>
  </si>
  <si>
    <t>Duse OMNI BLOK 154</t>
  </si>
  <si>
    <t>Differential Amplifier, 3V 1.5MHz, 145dB</t>
  </si>
  <si>
    <t>CAT5, RJ45 Connector, 1x2</t>
  </si>
  <si>
    <t>Not isolated DCDC Converter 5 V Output, 1 A, 8 - 28 V Input</t>
  </si>
  <si>
    <t>Terminal Assembly, Double Row, Right Angle, Thru-Hole, 2.54 mm x 2.54 mm Pitch, 30 Pins</t>
  </si>
  <si>
    <t>Pin Header, 2.54mm, 9 Pins, Single Row</t>
  </si>
  <si>
    <t>Device Package</t>
  </si>
  <si>
    <t>0805</t>
  </si>
  <si>
    <t>0603</t>
  </si>
  <si>
    <t>WCAP</t>
  </si>
  <si>
    <t>EEE</t>
  </si>
  <si>
    <t>OMNI-BLOK</t>
  </si>
  <si>
    <t>SOIC-14</t>
  </si>
  <si>
    <t>RJ45</t>
  </si>
  <si>
    <t>Connector</t>
  </si>
  <si>
    <t>FDSM</t>
  </si>
  <si>
    <t>SOIC</t>
  </si>
  <si>
    <t>THT</t>
  </si>
  <si>
    <t>Supplier 1</t>
  </si>
  <si>
    <t>Mouser</t>
  </si>
  <si>
    <t>RS</t>
  </si>
  <si>
    <t>Farnell</t>
  </si>
  <si>
    <t>Digi-Key, Mouser</t>
  </si>
  <si>
    <t>Wurth Electronik</t>
  </si>
  <si>
    <t>Supplier Part Number 1</t>
  </si>
  <si>
    <t>80-C0805C104J5RECTU</t>
  </si>
  <si>
    <t>710-150060GS84000, 710-150060RS86000</t>
  </si>
  <si>
    <t>576-0154001.DR</t>
  </si>
  <si>
    <t>412-995</t>
  </si>
  <si>
    <t>1860605</t>
  </si>
  <si>
    <t>710-173010578</t>
  </si>
  <si>
    <t>Supplier 2</t>
  </si>
  <si>
    <t>Supplier Part Number 2</t>
  </si>
  <si>
    <t>3408612, 3408608</t>
  </si>
  <si>
    <t>C:\Users\wilflingti66489\Documents\powertower_adapter_uz\01_Altium_Project\PowerTower_AdapterUltrazohm.PrjPcb</t>
  </si>
  <si>
    <t>C:\Users\wilflingti66489\Documents\powertower_adapter_uz\01_Altium_Project\PCB2.PcbDoc</t>
  </si>
  <si>
    <t>26.05.2021 16:41</t>
  </si>
  <si>
    <t>Bill of Materials</t>
  </si>
  <si>
    <t>BOM_PartType</t>
  </si>
  <si>
    <t>BOM</t>
  </si>
  <si>
    <t>U2, U3</t>
  </si>
  <si>
    <t>DS26C31TMX/NOPB</t>
  </si>
  <si>
    <t>2</t>
  </si>
  <si>
    <t>CMOS Quad Tri-State Differential Line Drivers, 16-pin Narrow SOIC, Pb-Free, 3V</t>
  </si>
  <si>
    <t>DS26C31TMX/NOPBCT-ND</t>
  </si>
  <si>
    <t xml:space="preserve">TMK212BBJ106KG-T </t>
  </si>
  <si>
    <t xml:space="preserve">963-TMK212BBJ106KG-T </t>
  </si>
  <si>
    <t>EEE-FK0J101V</t>
  </si>
  <si>
    <t xml:space="preserve">667-EEE-FK0J101V </t>
  </si>
  <si>
    <t>Vishay</t>
  </si>
  <si>
    <t xml:space="preserve">MAL216099101E3 </t>
  </si>
  <si>
    <t xml:space="preserve">594-MAL216099101E3 </t>
  </si>
  <si>
    <t xml:space="preserve">584-AD8554ARZ </t>
  </si>
  <si>
    <t xml:space="preserve">523-RJHSE-5380-02 </t>
  </si>
  <si>
    <t xml:space="preserve">200-IPL111501LDRAK </t>
  </si>
  <si>
    <t>710-61300911121</t>
  </si>
  <si>
    <t xml:space="preserve">926-DS26C31TMX/NOPB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</si>
</sst>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5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0" fillId="0" borderId="9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7" xfId="0" applyFont="1" applyFill="1" applyBorder="1" applyAlignment="1"/>
    <xf numFmtId="0" fontId="9" fillId="3" borderId="10" xfId="0" applyFont="1" applyFill="1" applyBorder="1" applyAlignment="1"/>
    <xf numFmtId="0" fontId="8" fillId="3" borderId="11" xfId="0" applyFont="1" applyFill="1" applyBorder="1" applyAlignment="1">
      <alignment horizontal="left"/>
    </xf>
    <xf numFmtId="0" fontId="9" fillId="3" borderId="11" xfId="0" applyFont="1" applyFill="1" applyBorder="1" applyAlignment="1"/>
    <xf numFmtId="0" fontId="8" fillId="3" borderId="11" xfId="0" applyFont="1" applyFill="1" applyBorder="1" applyAlignment="1"/>
    <xf numFmtId="0" fontId="9" fillId="3" borderId="11" xfId="0" applyFont="1" applyFill="1" applyBorder="1" applyAlignment="1">
      <alignment horizontal="left"/>
    </xf>
    <xf numFmtId="0" fontId="8" fillId="3" borderId="7" xfId="0" applyFont="1" applyFill="1" applyBorder="1" applyAlignment="1"/>
    <xf numFmtId="0" fontId="10" fillId="3" borderId="0" xfId="0" applyFont="1" applyFill="1" applyBorder="1" applyAlignment="1"/>
    <xf numFmtId="0" fontId="11" fillId="3" borderId="12" xfId="0" applyFont="1" applyFill="1" applyBorder="1" applyAlignment="1">
      <alignment vertical="center"/>
    </xf>
    <xf numFmtId="0" fontId="11" fillId="3" borderId="13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5" xfId="0" applyNumberFormat="1" applyFont="1" applyFill="1" applyBorder="1" applyAlignment="1" applyProtection="1">
      <alignment vertical="top"/>
      <protection locked="0"/>
    </xf>
    <xf numFmtId="0" fontId="1" fillId="0" borderId="16" xfId="0" applyNumberFormat="1" applyFont="1" applyFill="1" applyBorder="1" applyAlignment="1" applyProtection="1">
      <alignment horizontal="left" vertical="top"/>
      <protection locked="0"/>
    </xf>
    <xf numFmtId="0" fontId="1" fillId="0" borderId="10" xfId="0" applyNumberFormat="1" applyFont="1" applyFill="1" applyBorder="1" applyAlignment="1" applyProtection="1">
      <alignment horizontal="left" vertical="top"/>
      <protection locked="0"/>
    </xf>
    <xf numFmtId="0" fontId="15" fillId="0" borderId="11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7" xfId="0" applyFont="1" applyFill="1" applyBorder="1" applyAlignment="1"/>
    <xf numFmtId="0" fontId="5" fillId="5" borderId="17" xfId="0" applyFont="1" applyFill="1" applyBorder="1" applyAlignment="1"/>
    <xf numFmtId="0" fontId="5" fillId="5" borderId="1" xfId="0" applyFont="1" applyFill="1" applyBorder="1" applyAlignment="1"/>
    <xf numFmtId="0" fontId="5" fillId="5" borderId="6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5" fillId="5" borderId="8" xfId="0" applyFont="1" applyFill="1" applyBorder="1" applyAlignment="1"/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9" fillId="3" borderId="11" xfId="0" applyNumberFormat="1" applyFont="1" applyFill="1" applyBorder="1" applyAlignment="1">
      <alignment horizontal="left"/>
    </xf>
    <xf numFmtId="14" fontId="9" fillId="3" borderId="11" xfId="0" applyNumberFormat="1" applyFont="1" applyFill="1" applyBorder="1" applyAlignment="1">
      <alignment horizontal="left"/>
    </xf>
    <xf numFmtId="0" fontId="7" fillId="6" borderId="21" xfId="0" applyFont="1" applyFill="1" applyBorder="1" applyAlignment="1">
      <alignment vertical="top" wrapText="1"/>
    </xf>
    <xf numFmtId="0" fontId="7" fillId="7" borderId="22" xfId="0" applyFont="1" applyFill="1" applyBorder="1" applyAlignment="1">
      <alignment vertical="top" wrapText="1"/>
    </xf>
    <xf numFmtId="0" fontId="4" fillId="5" borderId="10" xfId="0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vertical="top"/>
      <protection locked="0"/>
    </xf>
    <xf numFmtId="0" fontId="14" fillId="3" borderId="23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18" xfId="0" applyNumberFormat="1" applyFont="1" applyFill="1" applyBorder="1" applyAlignment="1" applyProtection="1">
      <alignment vertical="top"/>
      <protection locked="0"/>
    </xf>
    <xf numFmtId="49" fontId="7" fillId="6" borderId="24" xfId="0" applyNumberFormat="1" applyFont="1" applyFill="1" applyBorder="1" applyAlignment="1">
      <alignment vertical="top" wrapText="1"/>
    </xf>
    <xf numFmtId="49" fontId="7" fillId="6" borderId="25" xfId="0" applyNumberFormat="1" applyFont="1" applyFill="1" applyBorder="1" applyAlignment="1">
      <alignment vertical="top" wrapText="1"/>
    </xf>
    <xf numFmtId="49" fontId="7" fillId="6" borderId="26" xfId="0" applyNumberFormat="1" applyFont="1" applyFill="1" applyBorder="1" applyAlignment="1">
      <alignment vertical="top" wrapText="1"/>
    </xf>
    <xf numFmtId="49" fontId="7" fillId="7" borderId="28" xfId="0" applyNumberFormat="1" applyFont="1" applyFill="1" applyBorder="1" applyAlignment="1">
      <alignment vertical="top" wrapText="1"/>
    </xf>
    <xf numFmtId="49" fontId="7" fillId="7" borderId="29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31" xfId="0" applyNumberFormat="1" applyFont="1" applyFill="1" applyBorder="1" applyAlignment="1">
      <alignment vertical="top" wrapText="1"/>
    </xf>
    <xf numFmtId="0" fontId="6" fillId="5" borderId="5" xfId="0" quotePrefix="1" applyFont="1" applyFill="1" applyBorder="1" applyAlignment="1">
      <alignment vertical="center"/>
    </xf>
    <xf numFmtId="0" fontId="8" fillId="3" borderId="0" xfId="0" quotePrefix="1" applyFont="1" applyFill="1" applyBorder="1" applyAlignment="1">
      <alignment horizontal="left"/>
    </xf>
    <xf numFmtId="0" fontId="8" fillId="3" borderId="10" xfId="0" quotePrefix="1" applyFont="1" applyFill="1" applyBorder="1" applyAlignment="1">
      <alignment horizontal="left"/>
    </xf>
    <xf numFmtId="0" fontId="8" fillId="3" borderId="11" xfId="0" quotePrefix="1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/>
    </xf>
    <xf numFmtId="0" fontId="2" fillId="0" borderId="16" xfId="0" quotePrefix="1" applyNumberFormat="1" applyFont="1" applyFill="1" applyBorder="1" applyAlignment="1" applyProtection="1">
      <alignment vertical="top"/>
      <protection locked="0"/>
    </xf>
    <xf numFmtId="0" fontId="13" fillId="4" borderId="14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  <xf numFmtId="0" fontId="3" fillId="5" borderId="7" xfId="0" applyFont="1" applyFill="1" applyBorder="1" applyAlignment="1"/>
    <xf numFmtId="0" fontId="16" fillId="7" borderId="22" xfId="0" applyFont="1" applyFill="1" applyBorder="1" applyAlignment="1">
      <alignment vertical="top" wrapText="1"/>
    </xf>
    <xf numFmtId="49" fontId="16" fillId="7" borderId="31" xfId="0" applyNumberFormat="1" applyFont="1" applyFill="1" applyBorder="1" applyAlignment="1">
      <alignment vertical="top" wrapText="1"/>
    </xf>
    <xf numFmtId="49" fontId="16" fillId="7" borderId="28" xfId="0" applyNumberFormat="1" applyFont="1" applyFill="1" applyBorder="1" applyAlignment="1">
      <alignment vertical="top" wrapText="1"/>
    </xf>
    <xf numFmtId="49" fontId="16" fillId="7" borderId="29" xfId="0" applyNumberFormat="1" applyFont="1" applyFill="1" applyBorder="1" applyAlignment="1">
      <alignment vertical="top" wrapText="1"/>
    </xf>
    <xf numFmtId="49" fontId="7" fillId="8" borderId="26" xfId="0" applyNumberFormat="1" applyFont="1" applyFill="1" applyBorder="1" applyAlignment="1">
      <alignment vertical="top" wrapText="1"/>
    </xf>
    <xf numFmtId="49" fontId="7" fillId="8" borderId="29" xfId="0" applyNumberFormat="1" applyFont="1" applyFill="1" applyBorder="1" applyAlignment="1">
      <alignment vertical="top" wrapText="1"/>
    </xf>
    <xf numFmtId="49" fontId="7" fillId="6" borderId="27" xfId="0" applyNumberFormat="1" applyFont="1" applyFill="1" applyBorder="1" applyAlignment="1">
      <alignment horizontal="left" vertical="top" wrapText="1"/>
    </xf>
    <xf numFmtId="49" fontId="7" fillId="7" borderId="30" xfId="0" applyNumberFormat="1" applyFont="1" applyFill="1" applyBorder="1" applyAlignment="1">
      <alignment horizontal="left" vertical="top" wrapText="1"/>
    </xf>
    <xf numFmtId="49" fontId="16" fillId="7" borderId="30" xfId="0" applyNumberFormat="1" applyFont="1" applyFill="1" applyBorder="1" applyAlignment="1">
      <alignment horizontal="left" vertical="top" wrapText="1"/>
    </xf>
    <xf numFmtId="49" fontId="16" fillId="8" borderId="29" xfId="0" applyNumberFormat="1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510540</xdr:colOff>
      <xdr:row>2</xdr:row>
      <xdr:rowOff>99060</xdr:rowOff>
    </xdr:from>
    <xdr:to>
      <xdr:col>10</xdr:col>
      <xdr:colOff>783821</xdr:colOff>
      <xdr:row>5</xdr:row>
      <xdr:rowOff>60960</xdr:rowOff>
    </xdr:to>
    <xdr:pic>
      <xdr:nvPicPr>
        <xdr:cNvPr id="1039" name="Grafik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746760"/>
          <a:ext cx="503682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30"/>
  <sheetViews>
    <sheetView showGridLines="0" tabSelected="1" topLeftCell="A4" zoomScale="110" zoomScaleNormal="110" workbookViewId="0">
      <selection activeCell="D30" sqref="D30"/>
    </sheetView>
  </sheetViews>
  <sheetFormatPr baseColWidth="10" defaultColWidth="9.140625" defaultRowHeight="12.75" x14ac:dyDescent="0.2"/>
  <cols>
    <col min="1" max="1" width="3.140625" style="1" customWidth="1"/>
    <col min="2" max="2" width="5.42578125" style="1" customWidth="1"/>
    <col min="3" max="3" width="7.28515625" style="1" customWidth="1"/>
    <col min="4" max="4" width="20.42578125" style="4" customWidth="1"/>
    <col min="5" max="5" width="23.28515625" style="4" customWidth="1"/>
    <col min="6" max="6" width="18.140625" style="4" customWidth="1"/>
    <col min="7" max="7" width="20" style="4" customWidth="1"/>
    <col min="8" max="8" width="23.5703125" style="1" customWidth="1"/>
    <col min="9" max="9" width="12.42578125" style="1" customWidth="1"/>
    <col min="10" max="10" width="13.140625" style="1" customWidth="1"/>
    <col min="11" max="11" width="43.85546875" style="1" customWidth="1"/>
    <col min="12" max="12" width="13.140625" style="1" customWidth="1"/>
    <col min="13" max="13" width="33.85546875" style="1" customWidth="1"/>
    <col min="14" max="14" width="37.28515625" style="1" customWidth="1"/>
    <col min="15" max="15" width="10" style="1" customWidth="1"/>
    <col min="16" max="16384" width="9.140625" style="1"/>
  </cols>
  <sheetData>
    <row r="1" spans="1:15" ht="13.5" thickBot="1" x14ac:dyDescent="0.25">
      <c r="A1" s="37"/>
      <c r="B1" s="37"/>
      <c r="C1" s="37"/>
      <c r="D1" s="39"/>
      <c r="E1" s="39"/>
      <c r="F1" s="40"/>
      <c r="G1" s="40"/>
      <c r="H1" s="40"/>
      <c r="I1" s="40"/>
      <c r="J1" s="40"/>
      <c r="K1" s="40"/>
      <c r="L1" s="40"/>
      <c r="M1" s="40"/>
      <c r="N1" s="41"/>
      <c r="O1" s="17"/>
    </row>
    <row r="2" spans="1:15" ht="37.5" customHeight="1" thickBot="1" x14ac:dyDescent="0.25">
      <c r="A2" s="38"/>
      <c r="B2" s="29"/>
      <c r="C2" s="29" t="s">
        <v>22</v>
      </c>
      <c r="E2" s="30"/>
      <c r="F2" s="63" t="s">
        <v>25</v>
      </c>
      <c r="G2" s="42"/>
      <c r="H2" s="42"/>
      <c r="I2" s="42"/>
      <c r="J2" s="42"/>
      <c r="K2" s="42"/>
      <c r="L2" s="42"/>
      <c r="M2" s="42"/>
      <c r="N2" s="43"/>
    </row>
    <row r="3" spans="1:15" ht="23.25" customHeight="1" x14ac:dyDescent="0.2">
      <c r="A3" s="38"/>
      <c r="B3" s="18"/>
      <c r="C3" s="18" t="s">
        <v>14</v>
      </c>
      <c r="E3" s="64" t="s">
        <v>26</v>
      </c>
      <c r="F3" s="18"/>
      <c r="G3" s="19"/>
      <c r="I3" s="18"/>
      <c r="J3" s="18"/>
      <c r="K3" s="18"/>
      <c r="L3" s="18"/>
      <c r="M3" s="18"/>
      <c r="N3" s="21"/>
    </row>
    <row r="4" spans="1:15" ht="17.25" customHeight="1" x14ac:dyDescent="0.2">
      <c r="A4" s="38"/>
      <c r="B4" s="18"/>
      <c r="C4" s="18" t="s">
        <v>15</v>
      </c>
      <c r="E4" s="65" t="s">
        <v>27</v>
      </c>
      <c r="F4" s="22"/>
      <c r="G4" s="19"/>
      <c r="I4" s="20"/>
      <c r="J4" s="20"/>
      <c r="K4" s="20"/>
      <c r="L4" s="20"/>
      <c r="M4" s="20"/>
      <c r="N4" s="21"/>
    </row>
    <row r="5" spans="1:15" ht="17.25" customHeight="1" x14ac:dyDescent="0.2">
      <c r="A5" s="38"/>
      <c r="B5" s="18"/>
      <c r="C5" s="18" t="s">
        <v>16</v>
      </c>
      <c r="E5" s="66" t="s">
        <v>28</v>
      </c>
      <c r="F5" s="24"/>
      <c r="G5" s="19"/>
      <c r="I5" s="20"/>
      <c r="J5" s="20"/>
      <c r="K5" s="20"/>
      <c r="L5" s="20"/>
      <c r="M5" s="20"/>
      <c r="N5" s="21"/>
    </row>
    <row r="6" spans="1:15" x14ac:dyDescent="0.2">
      <c r="A6" s="38"/>
      <c r="B6" s="25"/>
      <c r="C6" s="25"/>
      <c r="D6" s="25"/>
      <c r="E6" s="25"/>
      <c r="F6" s="25"/>
      <c r="G6" s="23"/>
      <c r="H6" s="26"/>
      <c r="I6" s="20"/>
      <c r="J6" s="20"/>
      <c r="K6" s="20"/>
      <c r="L6" s="20"/>
      <c r="M6" s="20"/>
      <c r="N6" s="27"/>
    </row>
    <row r="7" spans="1:15" ht="15.75" customHeight="1" x14ac:dyDescent="0.2">
      <c r="A7" s="38"/>
      <c r="B7" s="28"/>
      <c r="C7" s="28" t="s">
        <v>18</v>
      </c>
      <c r="D7" s="28"/>
      <c r="E7" s="28"/>
      <c r="F7" s="28"/>
      <c r="G7" s="67" t="s">
        <v>29</v>
      </c>
      <c r="H7" s="67" t="s">
        <v>30</v>
      </c>
      <c r="I7" s="28"/>
      <c r="J7" s="28"/>
      <c r="K7" s="28"/>
      <c r="L7" s="28"/>
      <c r="M7" s="28"/>
      <c r="N7" s="21"/>
    </row>
    <row r="8" spans="1:15" ht="15.75" customHeight="1" x14ac:dyDescent="0.2">
      <c r="A8" s="38"/>
      <c r="B8" s="24"/>
      <c r="C8" s="24" t="s">
        <v>17</v>
      </c>
      <c r="E8" s="24"/>
      <c r="F8" s="24"/>
      <c r="G8" s="48">
        <f ca="1">TODAY()</f>
        <v>44349</v>
      </c>
      <c r="H8" s="47">
        <f ca="1">NOW()</f>
        <v>44349.448239467594</v>
      </c>
      <c r="I8" s="28"/>
      <c r="J8" s="28"/>
      <c r="K8" s="28"/>
      <c r="L8" s="28"/>
      <c r="M8" s="28"/>
      <c r="N8" s="21"/>
    </row>
    <row r="9" spans="1:15" s="2" customFormat="1" ht="18" customHeight="1" x14ac:dyDescent="0.2">
      <c r="A9" s="38"/>
      <c r="B9" s="44" t="s">
        <v>20</v>
      </c>
      <c r="C9" s="51" t="s">
        <v>32</v>
      </c>
      <c r="D9" s="45" t="s">
        <v>33</v>
      </c>
      <c r="E9" s="45" t="s">
        <v>45</v>
      </c>
      <c r="F9" s="45" t="s">
        <v>56</v>
      </c>
      <c r="G9" s="45" t="s">
        <v>65</v>
      </c>
      <c r="H9" s="45" t="s">
        <v>72</v>
      </c>
      <c r="I9" s="45" t="s">
        <v>84</v>
      </c>
      <c r="J9" s="45" t="s">
        <v>96</v>
      </c>
      <c r="K9" s="45" t="s">
        <v>102</v>
      </c>
      <c r="L9" s="45" t="s">
        <v>109</v>
      </c>
      <c r="M9" s="45" t="s">
        <v>110</v>
      </c>
      <c r="N9" s="46" t="s">
        <v>24</v>
      </c>
    </row>
    <row r="10" spans="1:15" s="3" customFormat="1" ht="13.5" customHeight="1" x14ac:dyDescent="0.2">
      <c r="A10" s="38"/>
      <c r="B10" s="49">
        <f t="shared" ref="B10:B21" si="0">ROW(B10) - ROW($B$9)</f>
        <v>1</v>
      </c>
      <c r="C10" s="61">
        <v>1</v>
      </c>
      <c r="D10" s="56" t="s">
        <v>34</v>
      </c>
      <c r="E10" s="56" t="s">
        <v>49</v>
      </c>
      <c r="F10" s="56" t="s">
        <v>123</v>
      </c>
      <c r="G10" s="57" t="s">
        <v>66</v>
      </c>
      <c r="H10" s="57" t="s">
        <v>73</v>
      </c>
      <c r="I10" s="57" t="s">
        <v>85</v>
      </c>
      <c r="J10" s="77" t="s">
        <v>97</v>
      </c>
      <c r="K10" s="77" t="s">
        <v>124</v>
      </c>
      <c r="L10" s="58"/>
      <c r="M10" s="58"/>
      <c r="N10" s="79"/>
    </row>
    <row r="11" spans="1:15" s="3" customFormat="1" ht="13.5" customHeight="1" x14ac:dyDescent="0.2">
      <c r="A11" s="38"/>
      <c r="B11" s="49">
        <f t="shared" si="0"/>
        <v>2</v>
      </c>
      <c r="C11" s="61">
        <v>1</v>
      </c>
      <c r="D11" s="56" t="s">
        <v>35</v>
      </c>
      <c r="E11" s="56" t="s">
        <v>48</v>
      </c>
      <c r="F11" s="56" t="s">
        <v>125</v>
      </c>
      <c r="G11" s="57" t="s">
        <v>68</v>
      </c>
      <c r="H11" s="57" t="s">
        <v>74</v>
      </c>
      <c r="I11" s="57" t="s">
        <v>87</v>
      </c>
      <c r="J11" s="77" t="s">
        <v>97</v>
      </c>
      <c r="K11" s="77" t="s">
        <v>126</v>
      </c>
      <c r="L11" s="58"/>
      <c r="M11" s="58"/>
      <c r="N11" s="79"/>
    </row>
    <row r="12" spans="1:15" s="3" customFormat="1" ht="13.5" customHeight="1" x14ac:dyDescent="0.2">
      <c r="A12" s="38"/>
      <c r="B12" s="50">
        <f t="shared" si="0"/>
        <v>3</v>
      </c>
      <c r="C12" s="62">
        <v>2</v>
      </c>
      <c r="D12" s="59" t="s">
        <v>36</v>
      </c>
      <c r="E12" s="59" t="s">
        <v>127</v>
      </c>
      <c r="F12" s="59" t="s">
        <v>128</v>
      </c>
      <c r="G12" s="59" t="s">
        <v>68</v>
      </c>
      <c r="H12" s="59" t="s">
        <v>75</v>
      </c>
      <c r="I12" s="59" t="s">
        <v>88</v>
      </c>
      <c r="J12" s="78" t="s">
        <v>97</v>
      </c>
      <c r="K12" s="78" t="s">
        <v>129</v>
      </c>
      <c r="L12" s="60"/>
      <c r="M12" s="60"/>
      <c r="N12" s="80"/>
    </row>
    <row r="13" spans="1:15" s="3" customFormat="1" ht="13.5" customHeight="1" x14ac:dyDescent="0.2">
      <c r="A13" s="72"/>
      <c r="B13" s="73">
        <f t="shared" si="0"/>
        <v>4</v>
      </c>
      <c r="C13" s="74">
        <v>1</v>
      </c>
      <c r="D13" s="75" t="s">
        <v>37</v>
      </c>
      <c r="E13" s="75" t="s">
        <v>46</v>
      </c>
      <c r="F13" s="75" t="s">
        <v>57</v>
      </c>
      <c r="G13" s="75" t="s">
        <v>67</v>
      </c>
      <c r="H13" s="75" t="s">
        <v>76</v>
      </c>
      <c r="I13" s="75" t="s">
        <v>85</v>
      </c>
      <c r="J13" s="82" t="s">
        <v>97</v>
      </c>
      <c r="K13" s="82" t="s">
        <v>103</v>
      </c>
      <c r="L13" s="76"/>
      <c r="M13" s="76"/>
      <c r="N13" s="81"/>
    </row>
    <row r="14" spans="1:15" s="3" customFormat="1" ht="13.5" customHeight="1" x14ac:dyDescent="0.2">
      <c r="A14" s="38"/>
      <c r="B14" s="49">
        <f t="shared" si="0"/>
        <v>5</v>
      </c>
      <c r="C14" s="61">
        <v>2</v>
      </c>
      <c r="D14" s="56" t="s">
        <v>38</v>
      </c>
      <c r="E14" s="56" t="s">
        <v>47</v>
      </c>
      <c r="F14" s="56" t="s">
        <v>58</v>
      </c>
      <c r="G14" s="57"/>
      <c r="H14" s="57" t="s">
        <v>77</v>
      </c>
      <c r="I14" s="57" t="s">
        <v>86</v>
      </c>
      <c r="J14" s="77" t="s">
        <v>97</v>
      </c>
      <c r="K14" s="77" t="s">
        <v>104</v>
      </c>
      <c r="L14" s="58" t="s">
        <v>99</v>
      </c>
      <c r="M14" s="58" t="s">
        <v>111</v>
      </c>
      <c r="N14" s="79"/>
    </row>
    <row r="15" spans="1:15" s="3" customFormat="1" ht="13.5" customHeight="1" x14ac:dyDescent="0.2">
      <c r="A15" s="38"/>
      <c r="B15" s="50">
        <f t="shared" si="0"/>
        <v>6</v>
      </c>
      <c r="C15" s="62">
        <v>2</v>
      </c>
      <c r="D15" s="59" t="s">
        <v>39</v>
      </c>
      <c r="E15" s="59" t="s">
        <v>50</v>
      </c>
      <c r="F15" s="59" t="s">
        <v>59</v>
      </c>
      <c r="G15" s="59" t="s">
        <v>69</v>
      </c>
      <c r="H15" s="59" t="s">
        <v>78</v>
      </c>
      <c r="I15" s="59" t="s">
        <v>89</v>
      </c>
      <c r="J15" s="78" t="s">
        <v>97</v>
      </c>
      <c r="K15" s="78" t="s">
        <v>105</v>
      </c>
      <c r="L15" s="60"/>
      <c r="M15" s="60"/>
      <c r="N15" s="80"/>
    </row>
    <row r="16" spans="1:15" s="3" customFormat="1" ht="13.5" customHeight="1" x14ac:dyDescent="0.2">
      <c r="A16" s="38"/>
      <c r="B16" s="49">
        <f t="shared" si="0"/>
        <v>7</v>
      </c>
      <c r="C16" s="61">
        <v>1</v>
      </c>
      <c r="D16" s="56" t="s">
        <v>40</v>
      </c>
      <c r="E16" s="56" t="s">
        <v>51</v>
      </c>
      <c r="F16" s="56" t="s">
        <v>60</v>
      </c>
      <c r="G16" s="57" t="s">
        <v>70</v>
      </c>
      <c r="H16" s="57" t="s">
        <v>79</v>
      </c>
      <c r="I16" s="57" t="s">
        <v>90</v>
      </c>
      <c r="J16" s="58" t="s">
        <v>98</v>
      </c>
      <c r="K16" s="58" t="s">
        <v>106</v>
      </c>
      <c r="L16" s="77" t="s">
        <v>97</v>
      </c>
      <c r="M16" s="77" t="s">
        <v>130</v>
      </c>
      <c r="N16" s="79"/>
    </row>
    <row r="17" spans="1:14" s="3" customFormat="1" ht="13.5" customHeight="1" x14ac:dyDescent="0.2">
      <c r="A17" s="38"/>
      <c r="B17" s="50">
        <f t="shared" si="0"/>
        <v>8</v>
      </c>
      <c r="C17" s="62">
        <v>1</v>
      </c>
      <c r="D17" s="59" t="s">
        <v>41</v>
      </c>
      <c r="E17" s="59" t="s">
        <v>52</v>
      </c>
      <c r="F17" s="59" t="s">
        <v>61</v>
      </c>
      <c r="G17" s="59"/>
      <c r="H17" s="59" t="s">
        <v>80</v>
      </c>
      <c r="I17" s="59" t="s">
        <v>91</v>
      </c>
      <c r="J17" s="60" t="s">
        <v>99</v>
      </c>
      <c r="K17" s="60" t="s">
        <v>107</v>
      </c>
      <c r="L17" s="78" t="s">
        <v>97</v>
      </c>
      <c r="M17" s="78" t="s">
        <v>131</v>
      </c>
      <c r="N17" s="80"/>
    </row>
    <row r="18" spans="1:14" s="3" customFormat="1" ht="13.5" customHeight="1" x14ac:dyDescent="0.2">
      <c r="A18" s="38"/>
      <c r="B18" s="49">
        <f t="shared" si="0"/>
        <v>9</v>
      </c>
      <c r="C18" s="61">
        <v>1</v>
      </c>
      <c r="D18" s="56" t="s">
        <v>42</v>
      </c>
      <c r="E18" s="56" t="s">
        <v>47</v>
      </c>
      <c r="F18" s="56" t="s">
        <v>62</v>
      </c>
      <c r="G18" s="57" t="s">
        <v>71</v>
      </c>
      <c r="H18" s="57" t="s">
        <v>81</v>
      </c>
      <c r="I18" s="57" t="s">
        <v>93</v>
      </c>
      <c r="J18" s="77" t="s">
        <v>97</v>
      </c>
      <c r="K18" s="77" t="s">
        <v>108</v>
      </c>
      <c r="L18" s="58"/>
      <c r="M18" s="58"/>
      <c r="N18" s="79"/>
    </row>
    <row r="19" spans="1:14" s="3" customFormat="1" ht="13.5" customHeight="1" x14ac:dyDescent="0.2">
      <c r="A19" s="38"/>
      <c r="B19" s="50">
        <f t="shared" si="0"/>
        <v>10</v>
      </c>
      <c r="C19" s="62" t="s">
        <v>120</v>
      </c>
      <c r="D19" s="59" t="s">
        <v>118</v>
      </c>
      <c r="E19" s="59" t="s">
        <v>53</v>
      </c>
      <c r="F19" s="59" t="s">
        <v>119</v>
      </c>
      <c r="G19" s="59"/>
      <c r="H19" s="59" t="s">
        <v>121</v>
      </c>
      <c r="I19" s="59" t="s">
        <v>94</v>
      </c>
      <c r="J19" s="60" t="s">
        <v>100</v>
      </c>
      <c r="K19" s="60" t="s">
        <v>122</v>
      </c>
      <c r="L19" s="78" t="s">
        <v>97</v>
      </c>
      <c r="M19" s="78" t="s">
        <v>134</v>
      </c>
      <c r="N19" s="80"/>
    </row>
    <row r="20" spans="1:14" s="3" customFormat="1" ht="13.5" customHeight="1" x14ac:dyDescent="0.2">
      <c r="A20" s="38"/>
      <c r="B20" s="49">
        <f t="shared" si="0"/>
        <v>11</v>
      </c>
      <c r="C20" s="61">
        <v>1</v>
      </c>
      <c r="D20" s="56" t="s">
        <v>43</v>
      </c>
      <c r="E20" s="56" t="s">
        <v>54</v>
      </c>
      <c r="F20" s="56" t="s">
        <v>63</v>
      </c>
      <c r="G20" s="57"/>
      <c r="H20" s="57" t="s">
        <v>82</v>
      </c>
      <c r="I20" s="57" t="s">
        <v>92</v>
      </c>
      <c r="J20" s="58" t="s">
        <v>54</v>
      </c>
      <c r="K20" s="58" t="s">
        <v>63</v>
      </c>
      <c r="L20" s="77" t="s">
        <v>97</v>
      </c>
      <c r="M20" s="77" t="s">
        <v>132</v>
      </c>
      <c r="N20" s="79"/>
    </row>
    <row r="21" spans="1:14" s="3" customFormat="1" ht="13.5" customHeight="1" x14ac:dyDescent="0.2">
      <c r="A21" s="38"/>
      <c r="B21" s="50">
        <f t="shared" si="0"/>
        <v>12</v>
      </c>
      <c r="C21" s="62">
        <v>2</v>
      </c>
      <c r="D21" s="59" t="s">
        <v>44</v>
      </c>
      <c r="E21" s="59" t="s">
        <v>55</v>
      </c>
      <c r="F21" s="59" t="s">
        <v>64</v>
      </c>
      <c r="G21" s="59"/>
      <c r="H21" s="59" t="s">
        <v>83</v>
      </c>
      <c r="I21" s="59" t="s">
        <v>95</v>
      </c>
      <c r="J21" s="60" t="s">
        <v>101</v>
      </c>
      <c r="K21" s="60" t="s">
        <v>64</v>
      </c>
      <c r="L21" s="78" t="s">
        <v>97</v>
      </c>
      <c r="M21" s="78" t="s">
        <v>133</v>
      </c>
      <c r="N21" s="80"/>
    </row>
    <row r="22" spans="1:14" x14ac:dyDescent="0.2">
      <c r="A22" s="38"/>
      <c r="B22" s="55" t="s">
        <v>23</v>
      </c>
      <c r="C22" s="68"/>
      <c r="D22" s="52"/>
      <c r="E22" s="36"/>
      <c r="F22" s="35"/>
      <c r="G22" s="34"/>
      <c r="H22" s="5" t="s">
        <v>19</v>
      </c>
      <c r="J22" s="54"/>
      <c r="K22" s="54"/>
      <c r="L22" s="54"/>
      <c r="M22" s="54"/>
      <c r="N22" s="53"/>
    </row>
    <row r="23" spans="1:14" x14ac:dyDescent="0.2">
      <c r="A23" s="38"/>
      <c r="B23" s="8"/>
      <c r="C23" s="8"/>
      <c r="D23" s="8"/>
      <c r="E23" s="8"/>
      <c r="F23" s="7"/>
      <c r="G23" s="9"/>
      <c r="H23" s="6"/>
      <c r="I23" s="6"/>
      <c r="J23" s="7"/>
      <c r="K23" s="7"/>
      <c r="L23" s="7"/>
      <c r="M23" s="7"/>
      <c r="N23" s="14"/>
    </row>
    <row r="24" spans="1:14" x14ac:dyDescent="0.2">
      <c r="A24" s="38"/>
      <c r="B24" s="8"/>
      <c r="C24" s="8"/>
      <c r="D24" s="8"/>
      <c r="E24" s="8"/>
      <c r="F24" s="8"/>
      <c r="G24" s="10"/>
      <c r="H24" s="7"/>
      <c r="I24" s="7"/>
      <c r="J24" s="7"/>
      <c r="K24" s="7"/>
      <c r="L24" s="7"/>
      <c r="M24" s="7"/>
      <c r="N24" s="15"/>
    </row>
    <row r="25" spans="1:14" x14ac:dyDescent="0.2">
      <c r="A25" s="38"/>
      <c r="B25" s="8"/>
      <c r="C25" s="8"/>
      <c r="D25" s="8"/>
      <c r="E25" s="8"/>
      <c r="F25" s="8"/>
      <c r="G25" s="10"/>
      <c r="H25" s="7"/>
      <c r="I25" s="7" t="s">
        <v>21</v>
      </c>
      <c r="J25" s="7"/>
      <c r="K25" s="7"/>
      <c r="L25" s="7"/>
      <c r="M25" s="7"/>
      <c r="N25" s="15"/>
    </row>
    <row r="26" spans="1:14" ht="13.5" thickBot="1" x14ac:dyDescent="0.25">
      <c r="A26" s="38"/>
      <c r="B26" s="33"/>
      <c r="C26" s="13"/>
      <c r="D26" s="13"/>
      <c r="E26" s="13"/>
      <c r="F26" s="13"/>
      <c r="G26" s="11"/>
      <c r="H26" s="12"/>
      <c r="I26" s="12"/>
      <c r="J26" s="12"/>
      <c r="K26" s="12"/>
      <c r="L26" s="12"/>
      <c r="M26" s="12"/>
      <c r="N26" s="16"/>
    </row>
    <row r="28" spans="1:14" x14ac:dyDescent="0.2">
      <c r="D28" s="1"/>
      <c r="E28" s="1"/>
      <c r="F28" s="1"/>
      <c r="G28" s="1"/>
    </row>
    <row r="29" spans="1:14" x14ac:dyDescent="0.2">
      <c r="D29" s="1"/>
      <c r="E29" s="1"/>
      <c r="F29" s="1"/>
      <c r="G29" s="1"/>
    </row>
    <row r="30" spans="1:14" x14ac:dyDescent="0.2">
      <c r="D30" s="1"/>
      <c r="E30" s="1"/>
      <c r="F30" s="1"/>
      <c r="G30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baseColWidth="10" defaultColWidth="9.140625"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32" t="s">
        <v>0</v>
      </c>
      <c r="B1" s="69" t="s">
        <v>112</v>
      </c>
    </row>
    <row r="2" spans="1:2" x14ac:dyDescent="0.2">
      <c r="A2" s="31" t="s">
        <v>1</v>
      </c>
      <c r="B2" s="70" t="s">
        <v>27</v>
      </c>
    </row>
    <row r="3" spans="1:2" x14ac:dyDescent="0.2">
      <c r="A3" s="32" t="s">
        <v>2</v>
      </c>
      <c r="B3" s="71" t="s">
        <v>28</v>
      </c>
    </row>
    <row r="4" spans="1:2" x14ac:dyDescent="0.2">
      <c r="A4" s="31" t="s">
        <v>3</v>
      </c>
      <c r="B4" s="70" t="s">
        <v>26</v>
      </c>
    </row>
    <row r="5" spans="1:2" x14ac:dyDescent="0.2">
      <c r="A5" s="32" t="s">
        <v>4</v>
      </c>
      <c r="B5" s="71" t="s">
        <v>113</v>
      </c>
    </row>
    <row r="6" spans="1:2" x14ac:dyDescent="0.2">
      <c r="A6" s="31" t="s">
        <v>5</v>
      </c>
      <c r="B6" s="70" t="s">
        <v>25</v>
      </c>
    </row>
    <row r="7" spans="1:2" x14ac:dyDescent="0.2">
      <c r="A7" s="32" t="s">
        <v>6</v>
      </c>
      <c r="B7" s="71" t="s">
        <v>31</v>
      </c>
    </row>
    <row r="8" spans="1:2" x14ac:dyDescent="0.2">
      <c r="A8" s="31" t="s">
        <v>7</v>
      </c>
      <c r="B8" s="70" t="s">
        <v>30</v>
      </c>
    </row>
    <row r="9" spans="1:2" x14ac:dyDescent="0.2">
      <c r="A9" s="32" t="s">
        <v>8</v>
      </c>
      <c r="B9" s="71" t="s">
        <v>29</v>
      </c>
    </row>
    <row r="10" spans="1:2" x14ac:dyDescent="0.2">
      <c r="A10" s="31" t="s">
        <v>9</v>
      </c>
      <c r="B10" s="70" t="s">
        <v>114</v>
      </c>
    </row>
    <row r="11" spans="1:2" x14ac:dyDescent="0.2">
      <c r="A11" s="32" t="s">
        <v>10</v>
      </c>
      <c r="B11" s="71" t="s">
        <v>115</v>
      </c>
    </row>
    <row r="12" spans="1:2" x14ac:dyDescent="0.2">
      <c r="A12" s="31" t="s">
        <v>11</v>
      </c>
      <c r="B12" s="70" t="s">
        <v>116</v>
      </c>
    </row>
    <row r="13" spans="1:2" x14ac:dyDescent="0.2">
      <c r="A13" s="32" t="s">
        <v>12</v>
      </c>
      <c r="B13" s="71" t="s">
        <v>117</v>
      </c>
    </row>
    <row r="14" spans="1:2" x14ac:dyDescent="0.2">
      <c r="A14" s="31" t="s">
        <v>13</v>
      </c>
      <c r="B14" s="70" t="s">
        <v>115</v>
      </c>
    </row>
  </sheetData>
  <phoneticPr fontId="16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wilflingti66489</cp:lastModifiedBy>
  <cp:lastPrinted>2005-05-16T01:11:50Z</cp:lastPrinted>
  <dcterms:created xsi:type="dcterms:W3CDTF">2002-11-05T15:28:02Z</dcterms:created>
  <dcterms:modified xsi:type="dcterms:W3CDTF">2021-06-02T08:45:29Z</dcterms:modified>
</cp:coreProperties>
</file>